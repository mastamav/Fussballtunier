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em\Documents\HTL Steyr\2025_26\Fußballtunier\"/>
    </mc:Choice>
  </mc:AlternateContent>
  <xr:revisionPtr revIDLastSave="0" documentId="13_ncr:1_{C953A9C3-C134-409B-B314-C0A262DEE67E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Tabellen" sheetId="1" r:id="rId1"/>
    <sheet name="Gruppenphase" sheetId="2" r:id="rId2"/>
    <sheet name="Kreuzspiele" sheetId="3" r:id="rId3"/>
    <sheet name="Spiele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1" i="4" l="1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C3" i="4"/>
  <c r="B3" i="4"/>
  <c r="E2" i="4"/>
  <c r="D2" i="4"/>
  <c r="C2" i="4"/>
  <c r="B2" i="4"/>
  <c r="D21" i="1" l="1"/>
  <c r="B21" i="1"/>
  <c r="J21" i="1" s="1"/>
  <c r="G2" i="1"/>
  <c r="C6" i="1"/>
  <c r="D6" i="1"/>
  <c r="D5" i="1"/>
  <c r="D13" i="1"/>
  <c r="C7" i="1"/>
  <c r="C14" i="1"/>
  <c r="F3" i="1"/>
  <c r="B7" i="1"/>
  <c r="J7" i="1" s="1"/>
  <c r="F11" i="1"/>
  <c r="C20" i="1"/>
  <c r="D14" i="1"/>
  <c r="B15" i="1"/>
  <c r="J15" i="1" s="1"/>
  <c r="G18" i="1"/>
  <c r="F19" i="1"/>
  <c r="G10" i="1"/>
  <c r="G3" i="1"/>
  <c r="F4" i="1"/>
  <c r="B8" i="1"/>
  <c r="F12" i="1"/>
  <c r="F20" i="1"/>
  <c r="F5" i="1"/>
  <c r="B2" i="1"/>
  <c r="F6" i="1"/>
  <c r="D2" i="1"/>
  <c r="B4" i="1"/>
  <c r="G7" i="1"/>
  <c r="C4" i="1"/>
  <c r="B5" i="1"/>
  <c r="G8" i="1"/>
  <c r="F9" i="1"/>
  <c r="C12" i="1"/>
  <c r="B13" i="1"/>
  <c r="G16" i="1"/>
  <c r="F17" i="1"/>
  <c r="F2" i="1"/>
  <c r="H2" i="1" s="1"/>
  <c r="D4" i="1"/>
  <c r="C5" i="1"/>
  <c r="B6" i="1"/>
  <c r="G9" i="1"/>
  <c r="F10" i="1"/>
  <c r="H10" i="1" s="1"/>
  <c r="D12" i="1"/>
  <c r="C13" i="1"/>
  <c r="B14" i="1"/>
  <c r="G17" i="1"/>
  <c r="F18" i="1"/>
  <c r="D20" i="1"/>
  <c r="C21" i="1"/>
  <c r="I21" i="1" s="1"/>
  <c r="G11" i="1"/>
  <c r="D7" i="1"/>
  <c r="C8" i="1"/>
  <c r="B9" i="1"/>
  <c r="G12" i="1"/>
  <c r="F13" i="1"/>
  <c r="D15" i="1"/>
  <c r="C16" i="1"/>
  <c r="B17" i="1"/>
  <c r="G20" i="1"/>
  <c r="F21" i="1"/>
  <c r="B16" i="1"/>
  <c r="D8" i="1"/>
  <c r="C9" i="1"/>
  <c r="B10" i="1"/>
  <c r="G13" i="1"/>
  <c r="F14" i="1"/>
  <c r="D16" i="1"/>
  <c r="C17" i="1"/>
  <c r="B18" i="1"/>
  <c r="G21" i="1"/>
  <c r="C2" i="1"/>
  <c r="G6" i="1"/>
  <c r="F7" i="1"/>
  <c r="D9" i="1"/>
  <c r="C10" i="1"/>
  <c r="B11" i="1"/>
  <c r="G14" i="1"/>
  <c r="F15" i="1"/>
  <c r="D17" i="1"/>
  <c r="C18" i="1"/>
  <c r="B19" i="1"/>
  <c r="G19" i="1"/>
  <c r="C3" i="1"/>
  <c r="F8" i="1"/>
  <c r="D10" i="1"/>
  <c r="C11" i="1"/>
  <c r="B12" i="1"/>
  <c r="G15" i="1"/>
  <c r="F16" i="1"/>
  <c r="D18" i="1"/>
  <c r="C19" i="1"/>
  <c r="B20" i="1"/>
  <c r="C15" i="1"/>
  <c r="G4" i="1"/>
  <c r="G5" i="1"/>
  <c r="B3" i="1"/>
  <c r="D3" i="1"/>
  <c r="D11" i="1"/>
  <c r="D19" i="1"/>
  <c r="I6" i="1" l="1"/>
  <c r="I13" i="1"/>
  <c r="H11" i="1"/>
  <c r="I3" i="1"/>
  <c r="H8" i="1"/>
  <c r="H19" i="1"/>
  <c r="H3" i="1"/>
  <c r="I7" i="1"/>
  <c r="I14" i="1"/>
  <c r="I20" i="1"/>
  <c r="I5" i="1"/>
  <c r="H7" i="1"/>
  <c r="I2" i="1"/>
  <c r="H18" i="1"/>
  <c r="H16" i="1"/>
  <c r="H6" i="1"/>
  <c r="I18" i="1"/>
  <c r="I9" i="1"/>
  <c r="H13" i="1"/>
  <c r="H9" i="1"/>
  <c r="I11" i="1"/>
  <c r="I15" i="1"/>
  <c r="H20" i="1"/>
  <c r="H21" i="1"/>
  <c r="I8" i="1"/>
  <c r="I4" i="1"/>
  <c r="E6" i="1"/>
  <c r="H15" i="1"/>
  <c r="E2" i="1"/>
  <c r="E21" i="1"/>
  <c r="J18" i="1"/>
  <c r="E18" i="1"/>
  <c r="J16" i="1"/>
  <c r="E16" i="1"/>
  <c r="E9" i="1"/>
  <c r="J9" i="1"/>
  <c r="E5" i="1"/>
  <c r="H5" i="1"/>
  <c r="J5" i="1" s="1"/>
  <c r="J11" i="1"/>
  <c r="E11" i="1"/>
  <c r="I10" i="1"/>
  <c r="H17" i="1"/>
  <c r="H12" i="1"/>
  <c r="I17" i="1"/>
  <c r="E14" i="1"/>
  <c r="J14" i="1"/>
  <c r="I19" i="1"/>
  <c r="H14" i="1"/>
  <c r="E17" i="1"/>
  <c r="J17" i="1"/>
  <c r="E4" i="1"/>
  <c r="E8" i="1"/>
  <c r="J8" i="1"/>
  <c r="J12" i="1"/>
  <c r="E12" i="1"/>
  <c r="J19" i="1"/>
  <c r="E19" i="1"/>
  <c r="I16" i="1"/>
  <c r="J13" i="1"/>
  <c r="E13" i="1"/>
  <c r="H4" i="1"/>
  <c r="J20" i="1"/>
  <c r="E20" i="1"/>
  <c r="E15" i="1"/>
  <c r="E3" i="1"/>
  <c r="J10" i="1"/>
  <c r="E10" i="1"/>
  <c r="I12" i="1"/>
  <c r="E7" i="1"/>
  <c r="J4" i="1" l="1"/>
  <c r="J6" i="1"/>
  <c r="J3" i="1"/>
  <c r="J2" i="1"/>
</calcChain>
</file>

<file path=xl/sharedStrings.xml><?xml version="1.0" encoding="utf-8"?>
<sst xmlns="http://schemas.openxmlformats.org/spreadsheetml/2006/main" count="180" uniqueCount="50">
  <si>
    <t>Team</t>
  </si>
  <si>
    <t>Spiele</t>
  </si>
  <si>
    <t>Siege</t>
  </si>
  <si>
    <t>Unentsch.</t>
  </si>
  <si>
    <t>Niederlagen</t>
  </si>
  <si>
    <t>Tore +</t>
  </si>
  <si>
    <t>Tore-</t>
  </si>
  <si>
    <t>Tordiff.</t>
  </si>
  <si>
    <t>Punkte</t>
  </si>
  <si>
    <t>Platzierung</t>
  </si>
  <si>
    <t>1BHME</t>
  </si>
  <si>
    <t>Gruppe A</t>
  </si>
  <si>
    <t>3AHITN</t>
  </si>
  <si>
    <t>3AHMBZ</t>
  </si>
  <si>
    <t>4AHMBZ</t>
  </si>
  <si>
    <t>3BHMBZ</t>
  </si>
  <si>
    <t>2AHEL</t>
  </si>
  <si>
    <t>Gruppe B</t>
  </si>
  <si>
    <t>1AHEL</t>
  </si>
  <si>
    <t>2AHMBZ</t>
  </si>
  <si>
    <t>3AHEL</t>
  </si>
  <si>
    <t>2AHME</t>
  </si>
  <si>
    <t>1AHMBZ</t>
  </si>
  <si>
    <t>Gruppe C</t>
  </si>
  <si>
    <t>2AHITN</t>
  </si>
  <si>
    <t>1AHITN</t>
  </si>
  <si>
    <t>2BHME</t>
  </si>
  <si>
    <t>1AHME</t>
  </si>
  <si>
    <t>2AFMBZ</t>
  </si>
  <si>
    <t>Gruppe D</t>
  </si>
  <si>
    <t>4BHME</t>
  </si>
  <si>
    <t>3BHME</t>
  </si>
  <si>
    <t>4AHEL</t>
  </si>
  <si>
    <t>4AHITN</t>
  </si>
  <si>
    <t>Spiele Gruppenphase</t>
  </si>
  <si>
    <t>Platz 1</t>
  </si>
  <si>
    <t>Zeit</t>
  </si>
  <si>
    <t>Tore</t>
  </si>
  <si>
    <t>Strandseite</t>
  </si>
  <si>
    <t>Laufbahnseite</t>
  </si>
  <si>
    <t>Platz 2</t>
  </si>
  <si>
    <t>Kreuzspiele</t>
  </si>
  <si>
    <t>Spiel</t>
  </si>
  <si>
    <t>Halbfinale</t>
  </si>
  <si>
    <t>Kleines Finale</t>
  </si>
  <si>
    <t>Finale</t>
  </si>
  <si>
    <t>Team A</t>
  </si>
  <si>
    <t>Team B</t>
  </si>
  <si>
    <t>Tore A</t>
  </si>
  <si>
    <t>Tore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</si>
</sst>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"/>
  </numFmts>
  <fonts count="23" x14ac:knownFonts="1">
    <font>
      <sz val="11"/>
      <color theme="1"/>
      <name val="Calibri"/>
      <family val="2"/>
      <charset val="1"/>
    </font>
    <font>
      <b/>
      <sz val="16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6"/>
      <color theme="1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i/>
      <sz val="28"/>
      <color theme="1"/>
      <name val="Calibri"/>
      <family val="2"/>
      <charset val="1"/>
    </font>
    <font>
      <b/>
      <i/>
      <sz val="36"/>
      <color theme="1"/>
      <name val="Calibri"/>
      <family val="2"/>
      <charset val="1"/>
    </font>
    <font>
      <b/>
      <i/>
      <sz val="18"/>
      <name val="Calibri"/>
      <family val="2"/>
      <charset val="1"/>
    </font>
    <font>
      <sz val="18"/>
      <color theme="1"/>
      <name val="Calibri"/>
      <family val="2"/>
      <charset val="1"/>
    </font>
    <font>
      <b/>
      <i/>
      <sz val="16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i/>
      <sz val="10"/>
      <color theme="1"/>
      <name val="Calibri"/>
      <family val="2"/>
      <charset val="1"/>
    </font>
    <font>
      <b/>
      <i/>
      <sz val="11"/>
      <name val="Calibri"/>
      <family val="2"/>
      <charset val="1"/>
    </font>
    <font>
      <b/>
      <i/>
      <sz val="18"/>
      <color theme="1"/>
      <name val="Calibri"/>
      <family val="2"/>
      <charset val="1"/>
    </font>
    <font>
      <i/>
      <sz val="18"/>
      <color theme="1"/>
      <name val="Calibri"/>
      <family val="2"/>
      <charset val="1"/>
    </font>
    <font>
      <b/>
      <i/>
      <sz val="20"/>
      <name val="Calibri"/>
      <family val="2"/>
      <charset val="1"/>
    </font>
    <font>
      <sz val="16"/>
      <color theme="1"/>
      <name val="Calibri"/>
      <family val="2"/>
      <charset val="1"/>
    </font>
    <font>
      <b/>
      <i/>
      <sz val="16"/>
      <name val="Calibri"/>
      <family val="2"/>
      <charset val="1"/>
    </font>
    <font>
      <b/>
      <i/>
      <sz val="14"/>
      <color theme="1"/>
      <name val="Calibri"/>
      <family val="2"/>
      <charset val="1"/>
    </font>
    <font>
      <b/>
      <sz val="14"/>
      <name val="Calibri"/>
      <family val="2"/>
      <charset val="1"/>
    </font>
    <font>
      <b/>
      <i/>
      <sz val="10"/>
      <name val="Calibri"/>
      <family val="2"/>
      <charset val="1"/>
    </font>
    <font>
      <b/>
      <i/>
      <sz val="28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rgb="FFFFCC99"/>
      </patternFill>
    </fill>
    <fill>
      <patternFill patternType="solid">
        <fgColor theme="9"/>
        <bgColor rgb="FFFF8080"/>
      </patternFill>
    </fill>
    <fill>
      <patternFill patternType="solid">
        <fgColor rgb="FF00B0F0"/>
        <bgColor rgb="FF33CCCC"/>
      </patternFill>
    </fill>
    <fill>
      <patternFill patternType="solid">
        <fgColor theme="5"/>
        <bgColor rgb="FF993366"/>
      </patternFill>
    </fill>
    <fill>
      <patternFill patternType="solid">
        <fgColor rgb="FFFF0000"/>
        <bgColor rgb="FF993300"/>
      </patternFill>
    </fill>
  </fills>
  <borders count="16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14" fillId="5" borderId="11" xfId="0" applyFont="1" applyFill="1" applyBorder="1" applyAlignment="1">
      <alignment horizontal="center"/>
    </xf>
    <xf numFmtId="0" fontId="8" fillId="5" borderId="7" xfId="0" applyFont="1" applyFill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0" fillId="0" borderId="1" xfId="0" applyBorder="1"/>
    <xf numFmtId="0" fontId="2" fillId="0" borderId="0" xfId="0" applyFont="1"/>
    <xf numFmtId="0" fontId="3" fillId="0" borderId="4" xfId="0" applyFont="1" applyBorder="1"/>
    <xf numFmtId="0" fontId="3" fillId="0" borderId="0" xfId="0" applyFont="1"/>
    <xf numFmtId="0" fontId="2" fillId="0" borderId="1" xfId="0" applyFont="1" applyBorder="1"/>
    <xf numFmtId="0" fontId="3" fillId="0" borderId="2" xfId="0" applyFont="1" applyBorder="1"/>
    <xf numFmtId="0" fontId="3" fillId="0" borderId="1" xfId="0" applyFont="1" applyBorder="1"/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0" fillId="2" borderId="4" xfId="0" applyFill="1" applyBorder="1"/>
    <xf numFmtId="0" fontId="9" fillId="2" borderId="9" xfId="0" applyFont="1" applyFill="1" applyBorder="1"/>
    <xf numFmtId="164" fontId="10" fillId="0" borderId="7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10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2" fillId="2" borderId="0" xfId="0" applyFont="1" applyFill="1"/>
    <xf numFmtId="0" fontId="13" fillId="6" borderId="7" xfId="0" applyFont="1" applyFill="1" applyBorder="1" applyAlignment="1">
      <alignment horizontal="center"/>
    </xf>
    <xf numFmtId="0" fontId="11" fillId="2" borderId="0" xfId="0" applyFont="1" applyFill="1"/>
    <xf numFmtId="0" fontId="0" fillId="2" borderId="1" xfId="0" applyFill="1" applyBorder="1"/>
    <xf numFmtId="0" fontId="15" fillId="2" borderId="4" xfId="0" applyFont="1" applyFill="1" applyBorder="1"/>
    <xf numFmtId="164" fontId="10" fillId="0" borderId="9" xfId="0" applyNumberFormat="1" applyFont="1" applyBorder="1" applyAlignment="1">
      <alignment horizontal="center"/>
    </xf>
    <xf numFmtId="0" fontId="0" fillId="2" borderId="13" xfId="0" applyFill="1" applyBorder="1"/>
    <xf numFmtId="164" fontId="10" fillId="0" borderId="11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64" fontId="10" fillId="0" borderId="4" xfId="0" applyNumberFormat="1" applyFont="1" applyBorder="1" applyAlignment="1">
      <alignment horizontal="center"/>
    </xf>
    <xf numFmtId="0" fontId="17" fillId="2" borderId="4" xfId="0" applyFont="1" applyFill="1" applyBorder="1"/>
    <xf numFmtId="164" fontId="19" fillId="0" borderId="7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3" fillId="0" borderId="7" xfId="0" applyFont="1" applyBorder="1"/>
    <xf numFmtId="0" fontId="0" fillId="0" borderId="7" xfId="0" applyBorder="1"/>
    <xf numFmtId="164" fontId="19" fillId="0" borderId="14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2" fillId="2" borderId="15" xfId="0" applyFont="1" applyFill="1" applyBorder="1"/>
    <xf numFmtId="0" fontId="21" fillId="6" borderId="7" xfId="0" applyFont="1" applyFill="1" applyBorder="1" applyAlignment="1">
      <alignment horizontal="center"/>
    </xf>
    <xf numFmtId="0" fontId="3" fillId="2" borderId="0" xfId="0" applyFont="1" applyFill="1"/>
    <xf numFmtId="0" fontId="12" fillId="2" borderId="9" xfId="0" applyFont="1" applyFill="1" applyBorder="1"/>
    <xf numFmtId="0" fontId="21" fillId="6" borderId="5" xfId="0" applyFont="1" applyFill="1" applyBorder="1" applyAlignment="1">
      <alignment horizontal="center"/>
    </xf>
    <xf numFmtId="0" fontId="3" fillId="2" borderId="6" xfId="0" applyFont="1" applyFill="1" applyBorder="1"/>
    <xf numFmtId="0" fontId="0" fillId="2" borderId="10" xfId="0" applyFill="1" applyBorder="1"/>
    <xf numFmtId="0" fontId="0" fillId="0" borderId="14" xfId="0" applyBorder="1"/>
    <xf numFmtId="0" fontId="0" fillId="2" borderId="9" xfId="0" applyFill="1" applyBorder="1"/>
    <xf numFmtId="0" fontId="21" fillId="6" borderId="11" xfId="0" applyFont="1" applyFill="1" applyBorder="1" applyAlignment="1">
      <alignment horizontal="center"/>
    </xf>
    <xf numFmtId="0" fontId="21" fillId="6" borderId="0" xfId="0" applyFont="1" applyFill="1" applyAlignment="1">
      <alignment horizontal="center"/>
    </xf>
    <xf numFmtId="0" fontId="0" fillId="2" borderId="15" xfId="0" applyFill="1" applyBorder="1"/>
    <xf numFmtId="0" fontId="0" fillId="2" borderId="6" xfId="0" applyFill="1" applyBorder="1"/>
    <xf numFmtId="0" fontId="21" fillId="6" borderId="14" xfId="0" applyFont="1" applyFill="1" applyBorder="1" applyAlignment="1">
      <alignment horizontal="center"/>
    </xf>
    <xf numFmtId="0" fontId="20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center" vertical="center" textRotation="45"/>
    </xf>
    <xf numFmtId="0" fontId="4" fillId="0" borderId="6" xfId="0" applyFont="1" applyBorder="1" applyAlignment="1">
      <alignment horizontal="center" vertical="center" textRotation="45"/>
    </xf>
    <xf numFmtId="0" fontId="7" fillId="4" borderId="12" xfId="0" applyFont="1" applyFill="1" applyBorder="1" applyAlignment="1">
      <alignment horizontal="center" vertical="center" textRotation="90"/>
    </xf>
    <xf numFmtId="0" fontId="8" fillId="5" borderId="7" xfId="0" applyFont="1" applyFill="1" applyBorder="1" applyAlignment="1">
      <alignment horizontal="center"/>
    </xf>
    <xf numFmtId="0" fontId="14" fillId="5" borderId="11" xfId="0" applyFont="1" applyFill="1" applyBorder="1" applyAlignment="1">
      <alignment horizontal="center"/>
    </xf>
    <xf numFmtId="0" fontId="14" fillId="5" borderId="7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 vertical="center" textRotation="90"/>
    </xf>
    <xf numFmtId="0" fontId="8" fillId="5" borderId="10" xfId="0" applyFont="1" applyFill="1" applyBorder="1" applyAlignment="1">
      <alignment horizontal="center"/>
    </xf>
    <xf numFmtId="0" fontId="22" fillId="3" borderId="3" xfId="0" applyFont="1" applyFill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0" fillId="2" borderId="0" xfId="0" applyFill="1"/>
    <xf numFmtId="0" fontId="16" fillId="4" borderId="3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22" fillId="3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BD97"/>
      <rgbColor rgb="FF808080"/>
      <rgbColor rgb="FF9999FF"/>
      <rgbColor rgb="FFC0504D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79646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zoomScaleNormal="100" workbookViewId="0">
      <selection activeCell="O6" sqref="O6"/>
    </sheetView>
  </sheetViews>
  <sheetFormatPr defaultColWidth="9.109375" defaultRowHeight="14.4" x14ac:dyDescent="0.3"/>
  <cols>
    <col min="1" max="1" width="13.88671875" customWidth="1"/>
    <col min="2" max="2" width="11.33203125" customWidth="1"/>
    <col min="3" max="3" width="11" customWidth="1"/>
    <col min="4" max="4" width="14" customWidth="1"/>
    <col min="5" max="5" width="17.33203125" customWidth="1"/>
    <col min="6" max="6" width="10.44140625" customWidth="1"/>
    <col min="7" max="7" width="10.5546875" customWidth="1"/>
    <col min="8" max="8" width="11.44140625" customWidth="1"/>
    <col min="9" max="9" width="10.44140625" customWidth="1"/>
    <col min="10" max="10" width="18.109375" customWidth="1"/>
    <col min="11" max="11" width="13.109375" customWidth="1"/>
  </cols>
  <sheetData>
    <row r="1" spans="1:11" ht="21.75" customHeight="1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7"/>
    </row>
    <row r="2" spans="1:11" ht="19.5" customHeight="1" x14ac:dyDescent="0.35">
      <c r="A2" s="8" t="s">
        <v>10</v>
      </c>
      <c r="B2">
        <f>COUNTIF(Spiele!B:B,A2)+COUNTIF(Spiele!C:C,A2)</f>
        <v>0</v>
      </c>
      <c r="C2">
        <f>SUMPRODUCT((Spiele!B$2:B$100=A2)*(Spiele!D$2:D$100&gt;Spiele!E$2:E$100))+SUMPRODUCT((Spiele!C$2:C$100=A2)*(Spiele!E$2:E$100&gt;Spiele!D$2:D$100))</f>
        <v>0</v>
      </c>
      <c r="D2">
        <f>SUMPRODUCT((Spiele!B$2:B$100=A2)*(Spiele!D$2:D$100=Spiele!E$2:E$100))+SUMPRODUCT((Spiele!C$2:C$100=A2)*(Spiele!D$2:D$100=Spiele!E$2:E$100))</f>
        <v>0</v>
      </c>
      <c r="E2">
        <f t="shared" ref="E2:E21" si="0">B2-C2-D2</f>
        <v>0</v>
      </c>
      <c r="F2">
        <f>SUMIF(Spiele!B:B,A2,Spiele!D:D)+SUMIF(Spiele!C:C,A2,Spiele!E:E)</f>
        <v>0</v>
      </c>
      <c r="G2">
        <f>SUMIF(Spiele!B:B,A2,Spiele!E:E)+SUMIF(Spiele!C:C,A2,Spiele!D:D)</f>
        <v>0</v>
      </c>
      <c r="H2">
        <f t="shared" ref="H2:H21" si="1">F2-G2</f>
        <v>0</v>
      </c>
      <c r="I2" s="9">
        <f t="shared" ref="I2:I21" si="2">C2*3+D2</f>
        <v>0</v>
      </c>
      <c r="J2" s="10" t="str">
        <f>IF(B2=0,"",1+SUMPRODUCT(($B$2:$B$6&gt;0)*(($I$2:$I$6&gt;I2)*1+($I$2:$I$6=I2)*($H$2:$H$6&gt;H2)+($I$2:$I$6=I2)*($H$2:$H$6=H2)*($F$2:$F$6&gt;F2)+($I$2:$I$6=I2)*($H$2:$H$6=H2)*($F$2:$F$6=F2)*(ROW($A$2:$A$6)&lt;ROW(A2)))))</f>
        <v/>
      </c>
      <c r="K2" s="69" t="s">
        <v>11</v>
      </c>
    </row>
    <row r="3" spans="1:11" ht="18.75" customHeight="1" x14ac:dyDescent="0.35">
      <c r="A3" s="8" t="s">
        <v>12</v>
      </c>
      <c r="B3">
        <f>COUNTIF(Spiele!B:B,A3)+COUNTIF(Spiele!C:C,A3)</f>
        <v>0</v>
      </c>
      <c r="C3">
        <f>SUMPRODUCT((Spiele!B$2:B$100=A3)*(Spiele!D$2:D$100&gt;Spiele!E$2:E$100))+SUMPRODUCT((Spiele!C$2:C$100=A3)*(Spiele!E$2:E$100&gt;Spiele!D$2:D$100))</f>
        <v>0</v>
      </c>
      <c r="D3">
        <f>SUMPRODUCT((Spiele!B$2:B$100=A3)*(Spiele!D$2:D$100=Spiele!E$2:E$100))+SUMPRODUCT((Spiele!C$2:C$100=A3)*(Spiele!D$2:D$100=Spiele!E$2:E$100))</f>
        <v>0</v>
      </c>
      <c r="E3">
        <f t="shared" si="0"/>
        <v>0</v>
      </c>
      <c r="F3">
        <f>SUMIF(Spiele!B:B,A3,Spiele!D:D)+SUMIF(Spiele!C:C,A3,Spiele!E:E)</f>
        <v>0</v>
      </c>
      <c r="G3">
        <f>SUMIF(Spiele!B:B,A3,Spiele!E:E)+SUMIF(Spiele!C:C,A3,Spiele!D:D)</f>
        <v>0</v>
      </c>
      <c r="H3">
        <f t="shared" si="1"/>
        <v>0</v>
      </c>
      <c r="I3" s="9">
        <f t="shared" si="2"/>
        <v>0</v>
      </c>
      <c r="J3" s="10" t="str">
        <f>IF(B3=0,"",1+SUMPRODUCT(($B$2:$B$6&gt;0)*(($I$2:$I$6&gt;I3)*1+($I$2:$I$6=I3)*($H$2:$H$6&gt;H3)+($I$2:$I$6=I3)*($H$2:$H$6=H3)*($F$2:$F$6&gt;F3)+($I$2:$I$6=I3)*($H$2:$H$6=H3)*($F$2:$F$6=F3)*(ROW($A$2:$A$6)&lt;ROW(A3)))))</f>
        <v/>
      </c>
      <c r="K3" s="69"/>
    </row>
    <row r="4" spans="1:11" ht="18.75" customHeight="1" x14ac:dyDescent="0.35">
      <c r="A4" s="8" t="s">
        <v>13</v>
      </c>
      <c r="B4">
        <f>COUNTIF(Spiele!B:B,A4)+COUNTIF(Spiele!C:C,A4)</f>
        <v>0</v>
      </c>
      <c r="C4">
        <f>SUMPRODUCT((Spiele!B$2:B$100=A4)*(Spiele!D$2:D$100&gt;Spiele!E$2:E$100))+SUMPRODUCT((Spiele!C$2:C$100=A4)*(Spiele!E$2:E$100&gt;Spiele!D$2:D$100))</f>
        <v>0</v>
      </c>
      <c r="D4">
        <f>SUMPRODUCT((Spiele!B$2:B$100=A4)*(Spiele!D$2:D$100=Spiele!E$2:E$100))+SUMPRODUCT((Spiele!C$2:C$100=A4)*(Spiele!D$2:D$100=Spiele!E$2:E$100))</f>
        <v>0</v>
      </c>
      <c r="E4">
        <f t="shared" si="0"/>
        <v>0</v>
      </c>
      <c r="F4">
        <f>SUMIF(Spiele!B:B,A4,Spiele!D:D)+SUMIF(Spiele!C:C,A4,Spiele!E:E)</f>
        <v>0</v>
      </c>
      <c r="G4">
        <f>SUMIF(Spiele!B:B,A4,Spiele!E:E)+SUMIF(Spiele!C:C,A4,Spiele!D:D)</f>
        <v>0</v>
      </c>
      <c r="H4">
        <f t="shared" si="1"/>
        <v>0</v>
      </c>
      <c r="I4" s="9">
        <f t="shared" si="2"/>
        <v>0</v>
      </c>
      <c r="J4" s="10" t="str">
        <f>IF(B4=0,"",1+SUMPRODUCT(($B$2:$B$6&gt;0)*(($I$2:$I$6&gt;I4)*1+($I$2:$I$6=I4)*($H$2:$H$6&gt;H4)+($I$2:$I$6=I4)*($H$2:$H$6=H4)*($F$2:$F$6&gt;F4)+($I$2:$I$6=I4)*($H$2:$H$6=H4)*($F$2:$F$6=F4)*(ROW($A$2:$A$6)&lt;ROW(A4)))))</f>
        <v/>
      </c>
      <c r="K4" s="69"/>
    </row>
    <row r="5" spans="1:11" ht="18.75" customHeight="1" x14ac:dyDescent="0.35">
      <c r="A5" s="8" t="s">
        <v>14</v>
      </c>
      <c r="B5">
        <f>COUNTIF(Spiele!B:B,A5)+COUNTIF(Spiele!C:C,A5)</f>
        <v>0</v>
      </c>
      <c r="C5">
        <f>SUMPRODUCT((Spiele!B$2:B$100=A5)*(Spiele!D$2:D$100&gt;Spiele!E$2:E$100))+SUMPRODUCT((Spiele!C$2:C$100=A5)*(Spiele!E$2:E$100&gt;Spiele!D$2:D$100))</f>
        <v>0</v>
      </c>
      <c r="D5">
        <f>SUMPRODUCT((Spiele!B$2:B$100=A5)*(Spiele!D$2:D$100=Spiele!E$2:E$100))+SUMPRODUCT((Spiele!C$2:C$100=A5)*(Spiele!D$2:D$100=Spiele!E$2:E$100))</f>
        <v>0</v>
      </c>
      <c r="E5">
        <f t="shared" si="0"/>
        <v>0</v>
      </c>
      <c r="F5">
        <f>SUMIF(Spiele!B:B,A5,Spiele!D:D)+SUMIF(Spiele!C:C,A5,Spiele!E:E)</f>
        <v>0</v>
      </c>
      <c r="G5">
        <f>SUMIF(Spiele!B:B,A5,Spiele!E:E)+SUMIF(Spiele!C:C,A5,Spiele!D:D)</f>
        <v>0</v>
      </c>
      <c r="H5">
        <f t="shared" si="1"/>
        <v>0</v>
      </c>
      <c r="I5" s="9">
        <f t="shared" si="2"/>
        <v>0</v>
      </c>
      <c r="J5" s="10" t="str">
        <f>IF(B5=0,"",1+SUMPRODUCT(($B$2:$B$6&gt;0)*(($I$2:$I$6&gt;I5)*1+($I$2:$I$6=I5)*($H$2:$H$6&gt;H5)+($I$2:$I$6=I5)*($H$2:$H$6=H5)*($F$2:$F$6&gt;F5)+($I$2:$I$6=I5)*($H$2:$H$6=H5)*($F$2:$F$6=F5)*(ROW($A$2:$A$6)&lt;ROW(A5)))))</f>
        <v/>
      </c>
      <c r="K5" s="69"/>
    </row>
    <row r="6" spans="1:11" ht="19.5" customHeight="1" x14ac:dyDescent="0.35">
      <c r="A6" s="11" t="s">
        <v>15</v>
      </c>
      <c r="B6" s="7">
        <f>COUNTIF(Spiele!B:B,A6)+COUNTIF(Spiele!C:C,A6)</f>
        <v>0</v>
      </c>
      <c r="C6" s="7">
        <f>SUMPRODUCT((Spiele!B$2:B$100=A6)*(Spiele!D$2:D$100&gt;Spiele!E$2:E$100))+SUMPRODUCT((Spiele!C$2:C$100=A6)*(Spiele!E$2:E$100&gt;Spiele!D$2:D$100))</f>
        <v>0</v>
      </c>
      <c r="D6" s="7">
        <f>SUMPRODUCT((Spiele!B$2:B$100=A6)*(Spiele!D$2:D$100=Spiele!E$2:E$100))+SUMPRODUCT((Spiele!C$2:C$100=A6)*(Spiele!D$2:D$100=Spiele!E$2:E$100))</f>
        <v>0</v>
      </c>
      <c r="E6" s="7">
        <f t="shared" si="0"/>
        <v>0</v>
      </c>
      <c r="F6" s="7">
        <f>SUMIF(Spiele!B:B,A6,Spiele!D:D)+SUMIF(Spiele!C:C,A6,Spiele!E:E)</f>
        <v>0</v>
      </c>
      <c r="G6" s="7">
        <f>SUMIF(Spiele!B:B,A6,Spiele!E:E)+SUMIF(Spiele!C:C,A6,Spiele!D:D)</f>
        <v>0</v>
      </c>
      <c r="H6" s="7">
        <f t="shared" si="1"/>
        <v>0</v>
      </c>
      <c r="I6" s="12">
        <f t="shared" si="2"/>
        <v>0</v>
      </c>
      <c r="J6" s="13" t="str">
        <f>IF(B6=0,"",1+SUMPRODUCT(($B$2:$B$6&gt;0)*(($I$2:$I$6&gt;I6)*1+($I$2:$I$6=I6)*($H$2:$H$6&gt;H6)+($I$2:$I$6=I6)*($H$2:$H$6=H6)*($F$2:$F$6&gt;F6)+($I$2:$I$6=I6)*($H$2:$H$6=H6)*($F$2:$F$6=F6)*(ROW($A$2:$A$6)&lt;ROW(A6)))))</f>
        <v/>
      </c>
      <c r="K6" s="69"/>
    </row>
    <row r="7" spans="1:11" ht="19.5" customHeight="1" x14ac:dyDescent="0.3">
      <c r="A7" s="14" t="s">
        <v>16</v>
      </c>
      <c r="B7">
        <f>COUNTIF(Spiele!B:B,A7)+COUNTIF(Spiele!C:C,A7)</f>
        <v>0</v>
      </c>
      <c r="C7">
        <f>SUMPRODUCT((Spiele!B$2:B$100=A7)*(Spiele!D$2:D$100&gt;Spiele!E$2:E$100))+SUMPRODUCT((Spiele!C$2:C$100=A7)*(Spiele!E$2:E$100&gt;Spiele!D$2:D$100))</f>
        <v>0</v>
      </c>
      <c r="D7">
        <f>SUMPRODUCT((Spiele!B$2:B$100=A7)*(Spiele!D$2:D$100=Spiele!E$2:E$100))+SUMPRODUCT((Spiele!C$2:C$100=A7)*(Spiele!D$2:D$100=Spiele!E$2:E$100))</f>
        <v>0</v>
      </c>
      <c r="E7">
        <f t="shared" si="0"/>
        <v>0</v>
      </c>
      <c r="F7">
        <f>SUMIF(Spiele!B:B,A7,Spiele!D:D)+SUMIF(Spiele!C:C,A7,Spiele!E:E)</f>
        <v>0</v>
      </c>
      <c r="G7">
        <f>SUMIF(Spiele!B:B,A7,Spiele!E:E)+SUMIF(Spiele!C:C,A7,Spiele!D:D)</f>
        <v>0</v>
      </c>
      <c r="H7">
        <f t="shared" si="1"/>
        <v>0</v>
      </c>
      <c r="I7" s="9">
        <f t="shared" si="2"/>
        <v>0</v>
      </c>
      <c r="J7" s="10" t="str">
        <f>IF(B7=0,"",1+SUMPRODUCT(($B$7:$B$11&gt;0)*(($I$7:$I$11&gt;I7)*1+($I$7:$I$11=I7)*($H$7:$H$11&gt;H7)+($I$7:$I$11=I7)*($H$7:$H$11=H7)*($F$7:$F$11&gt;F7)+($I$7:$I$11=I7)*($H$7:$H$11=H7)*($F$7:$F$11=F7)*(ROW($A$7:$A$11)&lt;ROW(A7)))))</f>
        <v/>
      </c>
      <c r="K7" s="69" t="s">
        <v>17</v>
      </c>
    </row>
    <row r="8" spans="1:11" ht="18.75" customHeight="1" x14ac:dyDescent="0.3">
      <c r="A8" s="14" t="s">
        <v>18</v>
      </c>
      <c r="B8">
        <f>COUNTIF(Spiele!B:B,A8)+COUNTIF(Spiele!C:C,A8)</f>
        <v>0</v>
      </c>
      <c r="C8">
        <f>SUMPRODUCT((Spiele!B$2:B$100=A8)*(Spiele!D$2:D$100&gt;Spiele!E$2:E$100))+SUMPRODUCT((Spiele!C$2:C$100=A8)*(Spiele!E$2:E$100&gt;Spiele!D$2:D$100))</f>
        <v>0</v>
      </c>
      <c r="D8">
        <f>SUMPRODUCT((Spiele!B$2:B$100=A8)*(Spiele!D$2:D$100=Spiele!E$2:E$100))+SUMPRODUCT((Spiele!C$2:C$100=A8)*(Spiele!D$2:D$100=Spiele!E$2:E$100))</f>
        <v>0</v>
      </c>
      <c r="E8">
        <f t="shared" si="0"/>
        <v>0</v>
      </c>
      <c r="F8">
        <f>SUMIF(Spiele!B:B,A8,Spiele!D:D)+SUMIF(Spiele!C:C,A8,Spiele!E:E)</f>
        <v>0</v>
      </c>
      <c r="G8">
        <f>SUMIF(Spiele!B:B,A8,Spiele!E:E)+SUMIF(Spiele!C:C,A8,Spiele!D:D)</f>
        <v>0</v>
      </c>
      <c r="H8">
        <f t="shared" si="1"/>
        <v>0</v>
      </c>
      <c r="I8" s="9">
        <f t="shared" si="2"/>
        <v>0</v>
      </c>
      <c r="J8" s="10" t="str">
        <f>IF(B8=0,"",1+SUMPRODUCT(($B$7:$B$11&gt;0)*(($I$7:$I$11&gt;I8)*1+($I$7:$I$11=I8)*($H$7:$H$11&gt;H8)+($I$7:$I$11=I8)*($H$7:$H$11=H8)*($F$7:$F$11&gt;F8)+($I$7:$I$11=I8)*($H$7:$H$11=H8)*($F$7:$F$11=F8)*(ROW($A$7:$A$11)&lt;ROW(A8)))))</f>
        <v/>
      </c>
      <c r="K8" s="69"/>
    </row>
    <row r="9" spans="1:11" ht="18.75" customHeight="1" x14ac:dyDescent="0.3">
      <c r="A9" s="14" t="s">
        <v>19</v>
      </c>
      <c r="B9">
        <f>COUNTIF(Spiele!B:B,A9)+COUNTIF(Spiele!C:C,A9)</f>
        <v>0</v>
      </c>
      <c r="C9">
        <f>SUMPRODUCT((Spiele!B$2:B$100=A9)*(Spiele!D$2:D$100&gt;Spiele!E$2:E$100))+SUMPRODUCT((Spiele!C$2:C$100=A9)*(Spiele!E$2:E$100&gt;Spiele!D$2:D$100))</f>
        <v>0</v>
      </c>
      <c r="D9">
        <f>SUMPRODUCT((Spiele!B$2:B$100=A9)*(Spiele!D$2:D$100=Spiele!E$2:E$100))+SUMPRODUCT((Spiele!C$2:C$100=A9)*(Spiele!D$2:D$100=Spiele!E$2:E$100))</f>
        <v>0</v>
      </c>
      <c r="E9">
        <f t="shared" si="0"/>
        <v>0</v>
      </c>
      <c r="F9">
        <f>SUMIF(Spiele!B:B,A9,Spiele!D:D)+SUMIF(Spiele!C:C,A9,Spiele!E:E)</f>
        <v>0</v>
      </c>
      <c r="G9">
        <f>SUMIF(Spiele!B:B,A9,Spiele!E:E)+SUMIF(Spiele!C:C,A9,Spiele!D:D)</f>
        <v>0</v>
      </c>
      <c r="H9">
        <f t="shared" si="1"/>
        <v>0</v>
      </c>
      <c r="I9" s="9">
        <f t="shared" si="2"/>
        <v>0</v>
      </c>
      <c r="J9" s="10" t="str">
        <f>IF(B9=0,"",1+SUMPRODUCT(($B$7:$B$11&gt;0)*(($I$7:$I$11&gt;I9)*1+($I$7:$I$11=I9)*($H$7:$H$11&gt;H9)+($I$7:$I$11=I9)*($H$7:$H$11=H9)*($F$7:$F$11&gt;F9)+($I$7:$I$11=I9)*($H$7:$H$11=H9)*($F$7:$F$11=F9)*(ROW($A$7:$A$11)&lt;ROW(A9)))))</f>
        <v/>
      </c>
      <c r="K9" s="69"/>
    </row>
    <row r="10" spans="1:11" ht="18.75" customHeight="1" x14ac:dyDescent="0.3">
      <c r="A10" s="14" t="s">
        <v>20</v>
      </c>
      <c r="B10">
        <f>COUNTIF(Spiele!B:B,A10)+COUNTIF(Spiele!C:C,A10)</f>
        <v>0</v>
      </c>
      <c r="C10">
        <f>SUMPRODUCT((Spiele!B$2:B$100=A10)*(Spiele!D$2:D$100&gt;Spiele!E$2:E$100))+SUMPRODUCT((Spiele!C$2:C$100=A10)*(Spiele!E$2:E$100&gt;Spiele!D$2:D$100))</f>
        <v>0</v>
      </c>
      <c r="D10">
        <f>SUMPRODUCT((Spiele!B$2:B$100=A10)*(Spiele!D$2:D$100=Spiele!E$2:E$100))+SUMPRODUCT((Spiele!C$2:C$100=A10)*(Spiele!D$2:D$100=Spiele!E$2:E$100))</f>
        <v>0</v>
      </c>
      <c r="E10">
        <f t="shared" si="0"/>
        <v>0</v>
      </c>
      <c r="F10">
        <f>SUMIF(Spiele!B:B,A10,Spiele!D:D)+SUMIF(Spiele!C:C,A10,Spiele!E:E)</f>
        <v>0</v>
      </c>
      <c r="G10">
        <f>SUMIF(Spiele!B:B,A10,Spiele!E:E)+SUMIF(Spiele!C:C,A10,Spiele!D:D)</f>
        <v>0</v>
      </c>
      <c r="H10">
        <f t="shared" si="1"/>
        <v>0</v>
      </c>
      <c r="I10" s="9">
        <f t="shared" si="2"/>
        <v>0</v>
      </c>
      <c r="J10" s="10" t="str">
        <f>IF(B10=0,"",1+SUMPRODUCT(($B$7:$B$11&gt;0)*(($I$7:$I$11&gt;I10)*1+($I$7:$I$11=I10)*($H$7:$H$11&gt;H10)+($I$7:$I$11=I10)*($H$7:$H$11=H10)*($F$7:$F$11&gt;F10)+($I$7:$I$11=I10)*($H$7:$H$11=H10)*($F$7:$F$11=F10)*(ROW($A$7:$A$11)&lt;ROW(A10)))))</f>
        <v/>
      </c>
      <c r="K10" s="69"/>
    </row>
    <row r="11" spans="1:11" ht="19.5" customHeight="1" x14ac:dyDescent="0.3">
      <c r="A11" s="15" t="s">
        <v>21</v>
      </c>
      <c r="B11" s="7">
        <f>COUNTIF(Spiele!B:B,A11)+COUNTIF(Spiele!C:C,A11)</f>
        <v>0</v>
      </c>
      <c r="C11" s="7">
        <f>SUMPRODUCT((Spiele!B$2:B$100=A11)*(Spiele!D$2:D$100&gt;Spiele!E$2:E$100))+SUMPRODUCT((Spiele!C$2:C$100=A11)*(Spiele!E$2:E$100&gt;Spiele!D$2:D$100))</f>
        <v>0</v>
      </c>
      <c r="D11" s="7">
        <f>SUMPRODUCT((Spiele!B$2:B$100=A11)*(Spiele!D$2:D$100=Spiele!E$2:E$100))+SUMPRODUCT((Spiele!C$2:C$100=A11)*(Spiele!D$2:D$100=Spiele!E$2:E$100))</f>
        <v>0</v>
      </c>
      <c r="E11" s="7">
        <f t="shared" si="0"/>
        <v>0</v>
      </c>
      <c r="F11" s="7">
        <f>SUMIF(Spiele!B:B,A11,Spiele!D:D)+SUMIF(Spiele!C:C,A11,Spiele!E:E)</f>
        <v>0</v>
      </c>
      <c r="G11" s="7">
        <f>SUMIF(Spiele!B:B,A11,Spiele!E:E)+SUMIF(Spiele!C:C,A11,Spiele!D:D)</f>
        <v>0</v>
      </c>
      <c r="H11" s="7">
        <f t="shared" si="1"/>
        <v>0</v>
      </c>
      <c r="I11" s="12">
        <f t="shared" si="2"/>
        <v>0</v>
      </c>
      <c r="J11" s="13" t="str">
        <f>IF(B11=0,"",1+SUMPRODUCT(($B$7:$B$11&gt;0)*(($I$7:$I$11&gt;I11)*1+($I$7:$I$11=I11)*($H$7:$H$11&gt;H11)+($I$7:$I$11=I11)*($H$7:$H$11=H11)*($F$7:$F$11&gt;F11)+($I$7:$I$11=I11)*($H$7:$H$11=H11)*($F$7:$F$11=F11)*(ROW($A$7:$A$11)&lt;ROW(A11)))))</f>
        <v/>
      </c>
      <c r="K11" s="69"/>
    </row>
    <row r="12" spans="1:11" ht="19.5" customHeight="1" x14ac:dyDescent="0.3">
      <c r="A12" s="14" t="s">
        <v>22</v>
      </c>
      <c r="B12">
        <f>COUNTIF(Spiele!B:B,A12)+COUNTIF(Spiele!C:C,A12)</f>
        <v>0</v>
      </c>
      <c r="C12">
        <f>SUMPRODUCT((Spiele!B$2:B$100=A12)*(Spiele!D$2:D$100&gt;Spiele!E$2:E$100))+SUMPRODUCT((Spiele!C$2:C$100=A12)*(Spiele!E$2:E$100&gt;Spiele!D$2:D$100))</f>
        <v>0</v>
      </c>
      <c r="D12">
        <f>SUMPRODUCT((Spiele!B$2:B$100=A12)*(Spiele!D$2:D$100=Spiele!E$2:E$100))+SUMPRODUCT((Spiele!C$2:C$100=A12)*(Spiele!D$2:D$100=Spiele!E$2:E$100))</f>
        <v>0</v>
      </c>
      <c r="E12">
        <f t="shared" si="0"/>
        <v>0</v>
      </c>
      <c r="F12">
        <f>SUMIF(Spiele!B:B,A12,Spiele!D:D)+SUMIF(Spiele!C:C,A12,Spiele!E:E)</f>
        <v>0</v>
      </c>
      <c r="G12">
        <f>SUMIF(Spiele!B:B,A12,Spiele!E:E)+SUMIF(Spiele!C:C,A12,Spiele!D:D)</f>
        <v>0</v>
      </c>
      <c r="H12">
        <f t="shared" si="1"/>
        <v>0</v>
      </c>
      <c r="I12" s="9">
        <f t="shared" si="2"/>
        <v>0</v>
      </c>
      <c r="J12" s="10" t="str">
        <f>IF(B12=0,"",1+SUMPRODUCT(($B$12:$B$16&gt;0)*(($I$12:$I$16&gt;I12)*1+($I$12:$I$16=I12)*($H$12:$H$16&gt;H12)+($I$12:$I$16=I12)*($H$12:$H$16=H12)*($F$12:$F$16&gt;F12)+($I$12:$I$16=I12)*($H$12:$H$16=H12)*($F$12:$F$16=F12)*(ROW($A$12:$A$16)&lt;ROW(A12)))))</f>
        <v/>
      </c>
      <c r="K12" s="69" t="s">
        <v>23</v>
      </c>
    </row>
    <row r="13" spans="1:11" ht="18.75" customHeight="1" x14ac:dyDescent="0.3">
      <c r="A13" s="14" t="s">
        <v>24</v>
      </c>
      <c r="B13">
        <f>COUNTIF(Spiele!B:B,A13)+COUNTIF(Spiele!C:C,A13)</f>
        <v>0</v>
      </c>
      <c r="C13">
        <f>SUMPRODUCT((Spiele!B$2:B$100=A13)*(Spiele!D$2:D$100&gt;Spiele!E$2:E$100))+SUMPRODUCT((Spiele!C$2:C$100=A13)*(Spiele!E$2:E$100&gt;Spiele!D$2:D$100))</f>
        <v>0</v>
      </c>
      <c r="D13">
        <f>SUMPRODUCT((Spiele!B$2:B$100=A13)*(Spiele!D$2:D$100=Spiele!E$2:E$100))+SUMPRODUCT((Spiele!C$2:C$100=A13)*(Spiele!D$2:D$100=Spiele!E$2:E$100))</f>
        <v>0</v>
      </c>
      <c r="E13">
        <f t="shared" si="0"/>
        <v>0</v>
      </c>
      <c r="F13">
        <f>SUMIF(Spiele!B:B,A13,Spiele!D:D)+SUMIF(Spiele!C:C,A13,Spiele!E:E)</f>
        <v>0</v>
      </c>
      <c r="G13">
        <f>SUMIF(Spiele!B:B,A13,Spiele!E:E)+SUMIF(Spiele!C:C,A13,Spiele!D:D)</f>
        <v>0</v>
      </c>
      <c r="H13">
        <f t="shared" si="1"/>
        <v>0</v>
      </c>
      <c r="I13" s="9">
        <f t="shared" si="2"/>
        <v>0</v>
      </c>
      <c r="J13" s="10" t="str">
        <f>IF(B13=0,"",1+SUMPRODUCT(($B$12:$B$16&gt;0)*(($I$12:$I$16&gt;I13)*1+($I$12:$I$16=I13)*($H$12:$H$16&gt;H13)+($I$12:$I$16=I13)*($H$12:$H$16=H13)*($F$12:$F$16&gt;F13)+($I$12:$I$16=I13)*($H$12:$H$16=H13)*($F$12:$F$16=F13)*(ROW($A$12:$A$16)&lt;ROW(A13)))))</f>
        <v/>
      </c>
      <c r="K13" s="69"/>
    </row>
    <row r="14" spans="1:11" ht="18.75" customHeight="1" x14ac:dyDescent="0.3">
      <c r="A14" s="14" t="s">
        <v>25</v>
      </c>
      <c r="B14">
        <f>COUNTIF(Spiele!B:B,A14)+COUNTIF(Spiele!C:C,A14)</f>
        <v>0</v>
      </c>
      <c r="C14">
        <f>SUMPRODUCT((Spiele!B$2:B$100=A14)*(Spiele!D$2:D$100&gt;Spiele!E$2:E$100))+SUMPRODUCT((Spiele!C$2:C$100=A14)*(Spiele!E$2:E$100&gt;Spiele!D$2:D$100))</f>
        <v>0</v>
      </c>
      <c r="D14">
        <f>SUMPRODUCT((Spiele!B$2:B$100=A14)*(Spiele!D$2:D$100=Spiele!E$2:E$100))+SUMPRODUCT((Spiele!C$2:C$100=A14)*(Spiele!D$2:D$100=Spiele!E$2:E$100))</f>
        <v>0</v>
      </c>
      <c r="E14">
        <f t="shared" si="0"/>
        <v>0</v>
      </c>
      <c r="F14">
        <f>SUMIF(Spiele!B:B,A14,Spiele!D:D)+SUMIF(Spiele!C:C,A14,Spiele!E:E)</f>
        <v>0</v>
      </c>
      <c r="G14">
        <f>SUMIF(Spiele!B:B,A14,Spiele!E:E)+SUMIF(Spiele!C:C,A14,Spiele!D:D)</f>
        <v>0</v>
      </c>
      <c r="H14">
        <f t="shared" si="1"/>
        <v>0</v>
      </c>
      <c r="I14" s="9">
        <f t="shared" si="2"/>
        <v>0</v>
      </c>
      <c r="J14" s="10" t="str">
        <f>IF(B14=0,"",1+SUMPRODUCT(($B$12:$B$16&gt;0)*(($I$12:$I$16&gt;I14)*1+($I$12:$I$16=I14)*($H$12:$H$16&gt;H14)+($I$12:$I$16=I14)*($H$12:$H$16=H14)*($F$12:$F$16&gt;F14)+($I$12:$I$16=I14)*($H$12:$H$16=H14)*($F$12:$F$16=F14)*(ROW($A$12:$A$16)&lt;ROW(A14)))))</f>
        <v/>
      </c>
      <c r="K14" s="69"/>
    </row>
    <row r="15" spans="1:11" ht="18.75" customHeight="1" x14ac:dyDescent="0.3">
      <c r="A15" s="14" t="s">
        <v>26</v>
      </c>
      <c r="B15">
        <f>COUNTIF(Spiele!B:B,A15)+COUNTIF(Spiele!C:C,A15)</f>
        <v>0</v>
      </c>
      <c r="C15">
        <f>SUMPRODUCT((Spiele!B$2:B$100=A15)*(Spiele!D$2:D$100&gt;Spiele!E$2:E$100))+SUMPRODUCT((Spiele!C$2:C$100=A15)*(Spiele!E$2:E$100&gt;Spiele!D$2:D$100))</f>
        <v>0</v>
      </c>
      <c r="D15">
        <f>SUMPRODUCT((Spiele!B$2:B$100=A15)*(Spiele!D$2:D$100=Spiele!E$2:E$100))+SUMPRODUCT((Spiele!C$2:C$100=A15)*(Spiele!D$2:D$100=Spiele!E$2:E$100))</f>
        <v>0</v>
      </c>
      <c r="E15">
        <f t="shared" si="0"/>
        <v>0</v>
      </c>
      <c r="F15">
        <f>SUMIF(Spiele!B:B,A15,Spiele!D:D)+SUMIF(Spiele!C:C,A15,Spiele!E:E)</f>
        <v>0</v>
      </c>
      <c r="G15">
        <f>SUMIF(Spiele!B:B,A15,Spiele!E:E)+SUMIF(Spiele!C:C,A15,Spiele!D:D)</f>
        <v>0</v>
      </c>
      <c r="H15">
        <f t="shared" si="1"/>
        <v>0</v>
      </c>
      <c r="I15" s="9">
        <f t="shared" si="2"/>
        <v>0</v>
      </c>
      <c r="J15" s="10" t="str">
        <f>IF(B15=0,"",1+SUMPRODUCT(($B$12:$B$16&gt;0)*(($I$12:$I$16&gt;I15)*1+($I$12:$I$16=I15)*($H$12:$H$16&gt;H15)+($I$12:$I$16=I15)*($H$12:$H$16=H15)*($F$12:$F$16&gt;F15)+($I$12:$I$16=I15)*($H$12:$H$16=H15)*($F$12:$F$16=F15)*(ROW($A$12:$A$16)&lt;ROW(A15)))))</f>
        <v/>
      </c>
      <c r="K15" s="69"/>
    </row>
    <row r="16" spans="1:11" ht="19.5" customHeight="1" x14ac:dyDescent="0.3">
      <c r="A16" s="15" t="s">
        <v>27</v>
      </c>
      <c r="B16" s="7">
        <f>COUNTIF(Spiele!B:B,A16)+COUNTIF(Spiele!C:C,A16)</f>
        <v>0</v>
      </c>
      <c r="C16" s="7">
        <f>SUMPRODUCT((Spiele!B$2:B$100=A16)*(Spiele!D$2:D$100&gt;Spiele!E$2:E$100))+SUMPRODUCT((Spiele!C$2:C$100=A16)*(Spiele!E$2:E$100&gt;Spiele!D$2:D$100))</f>
        <v>0</v>
      </c>
      <c r="D16" s="7">
        <f>SUMPRODUCT((Spiele!B$2:B$100=A16)*(Spiele!D$2:D$100=Spiele!E$2:E$100))+SUMPRODUCT((Spiele!C$2:C$100=A16)*(Spiele!D$2:D$100=Spiele!E$2:E$100))</f>
        <v>0</v>
      </c>
      <c r="E16" s="7">
        <f t="shared" si="0"/>
        <v>0</v>
      </c>
      <c r="F16" s="7">
        <f>SUMIF(Spiele!B:B,A16,Spiele!D:D)+SUMIF(Spiele!C:C,A16,Spiele!E:E)</f>
        <v>0</v>
      </c>
      <c r="G16" s="7">
        <f>SUMIF(Spiele!B:B,A16,Spiele!E:E)+SUMIF(Spiele!C:C,A16,Spiele!D:D)</f>
        <v>0</v>
      </c>
      <c r="H16" s="7">
        <f t="shared" si="1"/>
        <v>0</v>
      </c>
      <c r="I16" s="12">
        <f t="shared" si="2"/>
        <v>0</v>
      </c>
      <c r="J16" s="13" t="str">
        <f>IF(B16=0,"",1+SUMPRODUCT(($B$12:$B$16&gt;0)*(($I$12:$I$16&gt;I16)*1+($I$12:$I$16=I16)*($H$12:$H$16&gt;H16)+($I$12:$I$16=I16)*($H$12:$H$16=H16)*($F$12:$F$16&gt;F16)+($I$12:$I$16=I16)*($H$12:$H$16=H16)*($F$12:$F$16=F16)*(ROW($A$12:$A$16)&lt;ROW(A16)))))</f>
        <v/>
      </c>
      <c r="K16" s="69"/>
    </row>
    <row r="17" spans="1:11" ht="19.5" customHeight="1" x14ac:dyDescent="0.3">
      <c r="A17" s="14" t="s">
        <v>28</v>
      </c>
      <c r="B17">
        <f>COUNTIF(Spiele!B:B,A17)+COUNTIF(Spiele!C:C,A17)</f>
        <v>0</v>
      </c>
      <c r="C17">
        <f>SUMPRODUCT((Spiele!B$2:B$100=A17)*(Spiele!D$2:D$100&gt;Spiele!E$2:E$100))+SUMPRODUCT((Spiele!C$2:C$100=A17)*(Spiele!E$2:E$100&gt;Spiele!D$2:D$100))</f>
        <v>0</v>
      </c>
      <c r="D17">
        <f>SUMPRODUCT((Spiele!B$2:B$100=A17)*(Spiele!D$2:D$100=Spiele!E$2:E$100))+SUMPRODUCT((Spiele!C$2:C$100=A17)*(Spiele!D$2:D$100=Spiele!E$2:E$100))</f>
        <v>0</v>
      </c>
      <c r="E17">
        <f t="shared" si="0"/>
        <v>0</v>
      </c>
      <c r="F17">
        <f>SUMIF(Spiele!B:B,A17,Spiele!D:D)+SUMIF(Spiele!C:C,A17,Spiele!E:E)</f>
        <v>0</v>
      </c>
      <c r="G17">
        <f>SUMIF(Spiele!B:B,A17,Spiele!E:E)+SUMIF(Spiele!C:C,A17,Spiele!D:D)</f>
        <v>0</v>
      </c>
      <c r="H17">
        <f t="shared" si="1"/>
        <v>0</v>
      </c>
      <c r="I17" s="9">
        <f t="shared" si="2"/>
        <v>0</v>
      </c>
      <c r="J17" s="10" t="str">
        <f>IF(B17=0,"",1+SUMPRODUCT(($B$17:$B$21&gt;0)*(($I$17:$I$21&gt;I17)*1+($I$17:$I$21=I17)*($H$17:$H$21&gt;H17)+($I$17:$I$21=I17)*($H$17:$H$21=H17)*($F$17:$F$21&gt;F17)+($I$17:$I$21=I17)*($H$17:$H$21=H17)*($F$17:$F$21=F17)*(ROW($A$17:$A$21)&lt;ROW(A17)))))</f>
        <v/>
      </c>
      <c r="K17" s="70" t="s">
        <v>29</v>
      </c>
    </row>
    <row r="18" spans="1:11" ht="18.75" customHeight="1" x14ac:dyDescent="0.3">
      <c r="A18" s="14" t="s">
        <v>30</v>
      </c>
      <c r="B18">
        <f>COUNTIF(Spiele!B:B,A18)+COUNTIF(Spiele!C:C,A18)</f>
        <v>0</v>
      </c>
      <c r="C18">
        <f>SUMPRODUCT((Spiele!B$2:B$100=A18)*(Spiele!D$2:D$100&gt;Spiele!E$2:E$100))+SUMPRODUCT((Spiele!C$2:C$100=A18)*(Spiele!E$2:E$100&gt;Spiele!D$2:D$100))</f>
        <v>0</v>
      </c>
      <c r="D18">
        <f>SUMPRODUCT((Spiele!B$2:B$100=A18)*(Spiele!D$2:D$100=Spiele!E$2:E$100))+SUMPRODUCT((Spiele!C$2:C$100=A18)*(Spiele!D$2:D$100=Spiele!E$2:E$100))</f>
        <v>0</v>
      </c>
      <c r="E18">
        <f t="shared" si="0"/>
        <v>0</v>
      </c>
      <c r="F18">
        <f>SUMIF(Spiele!B:B,A18,Spiele!D:D)+SUMIF(Spiele!C:C,A18,Spiele!E:E)</f>
        <v>0</v>
      </c>
      <c r="G18">
        <f>SUMIF(Spiele!B:B,A18,Spiele!E:E)+SUMIF(Spiele!C:C,A18,Spiele!D:D)</f>
        <v>0</v>
      </c>
      <c r="H18">
        <f t="shared" si="1"/>
        <v>0</v>
      </c>
      <c r="I18" s="9">
        <f t="shared" si="2"/>
        <v>0</v>
      </c>
      <c r="J18" s="10" t="str">
        <f>IF(B18=0,"",1+SUMPRODUCT(($B$17:$B$21&gt;0)*(($I$17:$I$21&gt;I18)*1+($I$17:$I$21=I18)*($H$17:$H$21&gt;H18)+($I$17:$I$21=I18)*($H$17:$H$21=H18)*($F$17:$F$21&gt;F18)+($I$17:$I$21=I18)*($H$17:$H$21=H18)*($F$17:$F$21=F18)*(ROW($A$17:$A$21)&lt;ROW(A18)))))</f>
        <v/>
      </c>
      <c r="K18" s="70"/>
    </row>
    <row r="19" spans="1:11" ht="18.75" customHeight="1" x14ac:dyDescent="0.3">
      <c r="A19" s="14" t="s">
        <v>31</v>
      </c>
      <c r="B19">
        <f>COUNTIF(Spiele!B:B,A19)+COUNTIF(Spiele!C:C,A19)</f>
        <v>0</v>
      </c>
      <c r="C19">
        <f>SUMPRODUCT((Spiele!B$2:B$100=A19)*(Spiele!D$2:D$100&gt;Spiele!E$2:E$100))+SUMPRODUCT((Spiele!C$2:C$100=A19)*(Spiele!E$2:E$100&gt;Spiele!D$2:D$100))</f>
        <v>0</v>
      </c>
      <c r="D19">
        <f>SUMPRODUCT((Spiele!B$2:B$100=A19)*(Spiele!D$2:D$100=Spiele!E$2:E$100))+SUMPRODUCT((Spiele!C$2:C$100=A19)*(Spiele!D$2:D$100=Spiele!E$2:E$100))</f>
        <v>0</v>
      </c>
      <c r="E19">
        <f t="shared" si="0"/>
        <v>0</v>
      </c>
      <c r="F19">
        <f>SUMIF(Spiele!B:B,A19,Spiele!D:D)+SUMIF(Spiele!C:C,A19,Spiele!E:E)</f>
        <v>0</v>
      </c>
      <c r="G19">
        <f>SUMIF(Spiele!B:B,A19,Spiele!E:E)+SUMIF(Spiele!C:C,A19,Spiele!D:D)</f>
        <v>0</v>
      </c>
      <c r="H19">
        <f t="shared" si="1"/>
        <v>0</v>
      </c>
      <c r="I19" s="9">
        <f t="shared" si="2"/>
        <v>0</v>
      </c>
      <c r="J19" s="10" t="str">
        <f>IF(B19=0,"",1+SUMPRODUCT(($B$17:$B$21&gt;0)*(($I$17:$I$21&gt;I19)*1+($I$17:$I$21=I19)*($H$17:$H$21&gt;H19)+($I$17:$I$21=I19)*($H$17:$H$21=H19)*($F$17:$F$21&gt;F19)+($I$17:$I$21=I19)*($H$17:$H$21=H19)*($F$17:$F$21=F19)*(ROW($A$17:$A$21)&lt;ROW(A19)))))</f>
        <v/>
      </c>
      <c r="K19" s="70"/>
    </row>
    <row r="20" spans="1:11" ht="18.75" customHeight="1" x14ac:dyDescent="0.3">
      <c r="A20" s="14" t="s">
        <v>32</v>
      </c>
      <c r="B20">
        <f>COUNTIF(Spiele!B:B,A20)+COUNTIF(Spiele!C:C,A20)</f>
        <v>0</v>
      </c>
      <c r="C20">
        <f>SUMPRODUCT((Spiele!B$2:B$100=A20)*(Spiele!D$2:D$100&gt;Spiele!E$2:E$100))+SUMPRODUCT((Spiele!C$2:C$100=A20)*(Spiele!E$2:E$100&gt;Spiele!D$2:D$100))</f>
        <v>0</v>
      </c>
      <c r="D20">
        <f>SUMPRODUCT((Spiele!B$2:B$100=A20)*(Spiele!D$2:D$100=Spiele!E$2:E$100))+SUMPRODUCT((Spiele!C$2:C$100=A20)*(Spiele!D$2:D$100=Spiele!E$2:E$100))</f>
        <v>0</v>
      </c>
      <c r="E20">
        <f t="shared" si="0"/>
        <v>0</v>
      </c>
      <c r="F20">
        <f>SUMIF(Spiele!B:B,A20,Spiele!D:D)+SUMIF(Spiele!C:C,A20,Spiele!E:E)</f>
        <v>0</v>
      </c>
      <c r="G20">
        <f>SUMIF(Spiele!B:B,A20,Spiele!E:E)+SUMIF(Spiele!C:C,A20,Spiele!D:D)</f>
        <v>0</v>
      </c>
      <c r="H20">
        <f t="shared" si="1"/>
        <v>0</v>
      </c>
      <c r="I20" s="9">
        <f t="shared" si="2"/>
        <v>0</v>
      </c>
      <c r="J20" s="10" t="str">
        <f>IF(B20=0,"",1+SUMPRODUCT(($B$17:$B$21&gt;0)*(($I$17:$I$21&gt;I20)*1+($I$17:$I$21=I20)*($H$17:$H$21&gt;H20)+($I$17:$I$21=I20)*($H$17:$H$21=H20)*($F$17:$F$21&gt;F20)+($I$17:$I$21=I20)*($H$17:$H$21=H20)*($F$17:$F$21=F20)*(ROW($A$17:$A$21)&lt;ROW(A20)))))</f>
        <v/>
      </c>
      <c r="K20" s="70"/>
    </row>
    <row r="21" spans="1:11" ht="18.75" customHeight="1" x14ac:dyDescent="0.3">
      <c r="A21" s="14" t="s">
        <v>33</v>
      </c>
      <c r="B21">
        <f>COUNTIF(Spiele!B:B,A21)+COUNTIF(Spiele!C:C,A21)</f>
        <v>0</v>
      </c>
      <c r="C21">
        <f>SUMPRODUCT((Spiele!B$2:B$100=A21)*(Spiele!D$2:D$100&gt;Spiele!E$2:E$100))+SUMPRODUCT((Spiele!C$2:C$100=A21)*(Spiele!E$2:E$100&gt;Spiele!D$2:D$100))</f>
        <v>0</v>
      </c>
      <c r="D21">
        <f>SUMPRODUCT((Spiele!B$2:B$100=A21)*(Spiele!D$2:D$100=Spiele!E$2:E$100))+SUMPRODUCT((Spiele!C$2:C$100=A21)*(Spiele!D$2:D$100=Spiele!E$2:E$100))</f>
        <v>0</v>
      </c>
      <c r="E21">
        <f t="shared" si="0"/>
        <v>0</v>
      </c>
      <c r="F21">
        <f>SUMIF(Spiele!B:B,A21,Spiele!D:D)+SUMIF(Spiele!C:C,A21,Spiele!E:E)</f>
        <v>0</v>
      </c>
      <c r="G21">
        <f>SUMIF(Spiele!B:B,A21,Spiele!E:E)+SUMIF(Spiele!C:C,A21,Spiele!D:D)</f>
        <v>0</v>
      </c>
      <c r="H21">
        <f t="shared" si="1"/>
        <v>0</v>
      </c>
      <c r="I21" s="9">
        <f t="shared" si="2"/>
        <v>0</v>
      </c>
      <c r="J21" s="10" t="str">
        <f>IF(B21=0,"",1+SUMPRODUCT(($B$17:$B$21&gt;0)*(($I$17:$I$21&gt;I21)*1+($I$17:$I$21=I21)*($H$17:$H$21&gt;H21)+($I$17:$I$21=I21)*($H$17:$H$21=H21)*($F$17:$F$21&gt;F21)+($I$17:$I$21=I21)*($H$17:$H$21=H21)*($F$17:$F$21=F21)*(ROW($A$17:$A$21)&lt;ROW(A21)))))</f>
        <v/>
      </c>
      <c r="K21" s="70"/>
    </row>
  </sheetData>
  <mergeCells count="4">
    <mergeCell ref="K2:K6"/>
    <mergeCell ref="K7:K11"/>
    <mergeCell ref="K12:K16"/>
    <mergeCell ref="K17:K2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3:U29"/>
  <sheetViews>
    <sheetView tabSelected="1" zoomScale="80" zoomScaleNormal="80" workbookViewId="0">
      <selection activeCell="Q8" sqref="Q8"/>
    </sheetView>
  </sheetViews>
  <sheetFormatPr defaultColWidth="11.44140625" defaultRowHeight="14.4" x14ac:dyDescent="0.3"/>
  <cols>
    <col min="1" max="1" width="4.33203125" customWidth="1"/>
    <col min="5" max="5" width="15.5546875" customWidth="1"/>
    <col min="6" max="6" width="15.44140625" customWidth="1"/>
    <col min="7" max="8" width="13.6640625" customWidth="1"/>
    <col min="11" max="11" width="14.109375" customWidth="1"/>
    <col min="12" max="12" width="15.6640625" customWidth="1"/>
    <col min="13" max="13" width="13.44140625" customWidth="1"/>
  </cols>
  <sheetData>
    <row r="3" spans="2:21" ht="15.75" customHeight="1" x14ac:dyDescent="0.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2:21" ht="37.5" customHeight="1" x14ac:dyDescent="0.7">
      <c r="B4" s="1"/>
      <c r="C4" s="16"/>
      <c r="D4" s="75" t="s">
        <v>34</v>
      </c>
      <c r="E4" s="75"/>
      <c r="F4" s="75"/>
      <c r="G4" s="75"/>
      <c r="H4" s="75"/>
      <c r="I4" s="75"/>
      <c r="J4" s="75"/>
      <c r="K4" s="75"/>
      <c r="L4" s="75"/>
      <c r="M4" s="75"/>
      <c r="N4" s="75"/>
      <c r="O4" s="1"/>
    </row>
    <row r="5" spans="2:21" ht="27" customHeight="1" x14ac:dyDescent="0.45">
      <c r="B5" s="1"/>
      <c r="C5" s="76" t="s">
        <v>35</v>
      </c>
      <c r="D5" s="3" t="s">
        <v>36</v>
      </c>
      <c r="E5" s="72" t="s">
        <v>11</v>
      </c>
      <c r="F5" s="72"/>
      <c r="G5" s="72" t="s">
        <v>37</v>
      </c>
      <c r="H5" s="72"/>
      <c r="I5" s="17"/>
      <c r="J5" s="3" t="s">
        <v>36</v>
      </c>
      <c r="K5" s="77" t="s">
        <v>17</v>
      </c>
      <c r="L5" s="77"/>
      <c r="M5" s="72" t="s">
        <v>37</v>
      </c>
      <c r="N5" s="72"/>
      <c r="O5" s="1"/>
    </row>
    <row r="6" spans="2:21" ht="21.75" customHeight="1" x14ac:dyDescent="0.4">
      <c r="B6" s="1"/>
      <c r="C6" s="76"/>
      <c r="D6" s="18">
        <v>0.34722222222222199</v>
      </c>
      <c r="E6" s="19" t="s">
        <v>10</v>
      </c>
      <c r="F6" s="20" t="s">
        <v>12</v>
      </c>
      <c r="G6" s="20"/>
      <c r="H6" s="20"/>
      <c r="I6" s="16"/>
      <c r="J6" s="18">
        <v>0.35555555555555601</v>
      </c>
      <c r="K6" s="20" t="s">
        <v>16</v>
      </c>
      <c r="L6" s="19" t="s">
        <v>18</v>
      </c>
      <c r="M6" s="20"/>
      <c r="N6" s="21"/>
      <c r="O6" s="1"/>
      <c r="S6" s="22"/>
      <c r="T6" s="22"/>
      <c r="U6" s="22"/>
    </row>
    <row r="7" spans="2:21" ht="23.25" customHeight="1" x14ac:dyDescent="0.4">
      <c r="B7" s="1"/>
      <c r="C7" s="76"/>
      <c r="D7" s="18">
        <v>0.36388888888888898</v>
      </c>
      <c r="E7" s="19" t="s">
        <v>13</v>
      </c>
      <c r="F7" s="20" t="s">
        <v>15</v>
      </c>
      <c r="G7" s="20"/>
      <c r="H7" s="20"/>
      <c r="I7" s="16"/>
      <c r="J7" s="18">
        <v>0.37222222222222201</v>
      </c>
      <c r="K7" s="20" t="s">
        <v>19</v>
      </c>
      <c r="L7" s="19" t="s">
        <v>20</v>
      </c>
      <c r="M7" s="20"/>
      <c r="N7" s="21"/>
      <c r="O7" s="1"/>
      <c r="S7" s="23"/>
      <c r="T7" s="23"/>
      <c r="U7" s="23"/>
    </row>
    <row r="8" spans="2:21" ht="22.5" customHeight="1" x14ac:dyDescent="0.4">
      <c r="B8" s="1"/>
      <c r="C8" s="76"/>
      <c r="D8" s="18">
        <v>0.38055555555555598</v>
      </c>
      <c r="E8" s="19" t="s">
        <v>14</v>
      </c>
      <c r="F8" s="20" t="s">
        <v>10</v>
      </c>
      <c r="G8" s="20"/>
      <c r="H8" s="20"/>
      <c r="I8" s="16"/>
      <c r="J8" s="18">
        <v>0.38888888888888901</v>
      </c>
      <c r="K8" s="20" t="s">
        <v>21</v>
      </c>
      <c r="L8" s="19" t="s">
        <v>16</v>
      </c>
      <c r="M8" s="20"/>
      <c r="N8" s="21"/>
      <c r="O8" s="1"/>
      <c r="P8" s="22"/>
      <c r="Q8" s="22"/>
      <c r="S8" s="23"/>
      <c r="T8" s="23"/>
      <c r="U8" s="23"/>
    </row>
    <row r="9" spans="2:21" ht="22.5" customHeight="1" x14ac:dyDescent="0.4">
      <c r="B9" s="1"/>
      <c r="C9" s="76"/>
      <c r="D9" s="18">
        <v>0.39722222222222198</v>
      </c>
      <c r="E9" s="19" t="s">
        <v>12</v>
      </c>
      <c r="F9" s="20" t="s">
        <v>13</v>
      </c>
      <c r="G9" s="20"/>
      <c r="H9" s="20"/>
      <c r="I9" s="16"/>
      <c r="J9" s="18">
        <v>0.405555555555556</v>
      </c>
      <c r="K9" s="20" t="s">
        <v>18</v>
      </c>
      <c r="L9" s="19" t="s">
        <v>19</v>
      </c>
      <c r="M9" s="20"/>
      <c r="N9" s="21"/>
      <c r="O9" s="1"/>
      <c r="P9" s="23"/>
      <c r="Q9" s="23"/>
      <c r="S9" s="23"/>
      <c r="T9" s="23"/>
      <c r="U9" s="23"/>
    </row>
    <row r="10" spans="2:21" ht="22.5" customHeight="1" x14ac:dyDescent="0.4">
      <c r="B10" s="1"/>
      <c r="C10" s="76"/>
      <c r="D10" s="18">
        <v>0.41388888888888897</v>
      </c>
      <c r="E10" s="19" t="s">
        <v>15</v>
      </c>
      <c r="F10" s="20" t="s">
        <v>14</v>
      </c>
      <c r="G10" s="20"/>
      <c r="H10" s="20"/>
      <c r="I10" s="16"/>
      <c r="J10" s="18">
        <v>0.422222222222222</v>
      </c>
      <c r="K10" s="20" t="s">
        <v>20</v>
      </c>
      <c r="L10" s="19" t="s">
        <v>21</v>
      </c>
      <c r="M10" s="20"/>
      <c r="N10" s="21"/>
      <c r="O10" s="1"/>
      <c r="P10" s="23"/>
      <c r="Q10" s="23"/>
      <c r="S10" s="23"/>
      <c r="T10" s="23"/>
      <c r="U10" s="23"/>
    </row>
    <row r="11" spans="2:21" ht="21.75" customHeight="1" x14ac:dyDescent="0.4">
      <c r="B11" s="1"/>
      <c r="C11" s="76"/>
      <c r="D11" s="18">
        <v>0.43055555555555602</v>
      </c>
      <c r="E11" s="19" t="s">
        <v>10</v>
      </c>
      <c r="F11" s="20" t="s">
        <v>13</v>
      </c>
      <c r="G11" s="20"/>
      <c r="H11" s="20"/>
      <c r="I11" s="16"/>
      <c r="J11" s="24">
        <v>0.43888888888888899</v>
      </c>
      <c r="K11" s="20" t="s">
        <v>16</v>
      </c>
      <c r="L11" s="19" t="s">
        <v>19</v>
      </c>
      <c r="M11" s="25"/>
      <c r="N11" s="26"/>
      <c r="O11" s="1"/>
      <c r="P11" s="23"/>
      <c r="Q11" s="23"/>
      <c r="S11" s="23"/>
      <c r="T11" s="23"/>
      <c r="U11" s="23"/>
    </row>
    <row r="12" spans="2:21" ht="22.5" customHeight="1" x14ac:dyDescent="0.4">
      <c r="B12" s="1"/>
      <c r="C12" s="76"/>
      <c r="D12" s="18">
        <v>0.44722222222222202</v>
      </c>
      <c r="E12" s="19" t="s">
        <v>12</v>
      </c>
      <c r="F12" s="20" t="s">
        <v>15</v>
      </c>
      <c r="G12" s="20"/>
      <c r="H12" s="20"/>
      <c r="I12" s="1"/>
      <c r="J12" s="18">
        <v>0.45555555555555599</v>
      </c>
      <c r="K12" s="20" t="s">
        <v>18</v>
      </c>
      <c r="L12" s="19" t="s">
        <v>20</v>
      </c>
      <c r="M12" s="20"/>
      <c r="N12" s="20"/>
      <c r="O12" s="1"/>
      <c r="P12" s="23"/>
      <c r="Q12" s="23"/>
      <c r="S12" s="23"/>
      <c r="T12" s="23"/>
      <c r="U12" s="23"/>
    </row>
    <row r="13" spans="2:21" ht="21.75" customHeight="1" x14ac:dyDescent="0.4">
      <c r="B13" s="1"/>
      <c r="C13" s="76"/>
      <c r="D13" s="18">
        <v>0.46388888888888902</v>
      </c>
      <c r="E13" s="19" t="s">
        <v>13</v>
      </c>
      <c r="F13" s="20" t="s">
        <v>14</v>
      </c>
      <c r="G13" s="20"/>
      <c r="H13" s="20"/>
      <c r="I13" s="1"/>
      <c r="J13" s="18">
        <v>0.47222222222222199</v>
      </c>
      <c r="K13" s="20" t="s">
        <v>19</v>
      </c>
      <c r="L13" s="20" t="s">
        <v>21</v>
      </c>
      <c r="M13" s="20"/>
      <c r="N13" s="20"/>
      <c r="O13" s="1"/>
      <c r="P13" s="23"/>
      <c r="Q13" s="23"/>
      <c r="S13" s="23"/>
      <c r="T13" s="23"/>
      <c r="U13" s="23"/>
    </row>
    <row r="14" spans="2:21" ht="22.5" customHeight="1" x14ac:dyDescent="0.4">
      <c r="B14" s="1"/>
      <c r="C14" s="76"/>
      <c r="D14" s="18">
        <v>0.48055555555555601</v>
      </c>
      <c r="E14" s="19" t="s">
        <v>10</v>
      </c>
      <c r="F14" s="20" t="s">
        <v>15</v>
      </c>
      <c r="G14" s="20"/>
      <c r="H14" s="20"/>
      <c r="I14" s="1"/>
      <c r="J14" s="18">
        <v>0.48888888888888898</v>
      </c>
      <c r="K14" s="20" t="s">
        <v>16</v>
      </c>
      <c r="L14" s="20" t="s">
        <v>20</v>
      </c>
      <c r="M14" s="20"/>
      <c r="N14" s="20"/>
      <c r="O14" s="1"/>
      <c r="P14" s="23"/>
      <c r="Q14" s="23"/>
      <c r="S14" s="23"/>
      <c r="T14" s="23"/>
      <c r="U14" s="23"/>
    </row>
    <row r="15" spans="2:21" ht="23.25" customHeight="1" x14ac:dyDescent="0.4">
      <c r="B15" s="1"/>
      <c r="C15" s="76"/>
      <c r="D15" s="18">
        <v>0.49722222222222201</v>
      </c>
      <c r="E15" s="19" t="s">
        <v>12</v>
      </c>
      <c r="F15" s="20" t="s">
        <v>14</v>
      </c>
      <c r="G15" s="20"/>
      <c r="H15" s="20"/>
      <c r="I15" s="1"/>
      <c r="J15" s="18">
        <v>0.50555555555555598</v>
      </c>
      <c r="K15" s="20" t="s">
        <v>18</v>
      </c>
      <c r="L15" s="20" t="s">
        <v>21</v>
      </c>
      <c r="M15" s="20"/>
      <c r="N15" s="20"/>
      <c r="O15" s="1"/>
      <c r="P15" s="23"/>
      <c r="Q15" s="23"/>
      <c r="S15" s="23"/>
      <c r="T15" s="23"/>
      <c r="U15" s="23"/>
    </row>
    <row r="16" spans="2:21" ht="16.5" customHeight="1" x14ac:dyDescent="0.3">
      <c r="B16" s="1"/>
      <c r="C16" s="1"/>
      <c r="D16" s="27"/>
      <c r="E16" s="28" t="s">
        <v>38</v>
      </c>
      <c r="F16" s="28" t="s">
        <v>39</v>
      </c>
      <c r="G16" s="29"/>
      <c r="H16" s="30"/>
      <c r="I16" s="1"/>
      <c r="J16" s="30"/>
      <c r="K16" s="28" t="s">
        <v>38</v>
      </c>
      <c r="L16" s="28" t="s">
        <v>39</v>
      </c>
      <c r="M16" s="30"/>
      <c r="N16" s="1"/>
      <c r="O16" s="1"/>
      <c r="P16" s="23"/>
      <c r="Q16" s="23"/>
      <c r="S16" s="23"/>
      <c r="T16" s="23"/>
      <c r="U16" s="23"/>
    </row>
    <row r="17" spans="2:21" ht="27" customHeight="1" x14ac:dyDescent="0.45">
      <c r="B17" s="1"/>
      <c r="C17" s="71" t="s">
        <v>40</v>
      </c>
      <c r="D17" s="2" t="s">
        <v>36</v>
      </c>
      <c r="E17" s="72" t="s">
        <v>23</v>
      </c>
      <c r="F17" s="72"/>
      <c r="G17" s="73" t="s">
        <v>37</v>
      </c>
      <c r="H17" s="73"/>
      <c r="I17" s="31"/>
      <c r="J17" s="2" t="s">
        <v>36</v>
      </c>
      <c r="K17" s="74" t="s">
        <v>29</v>
      </c>
      <c r="L17" s="74"/>
      <c r="M17" s="73" t="s">
        <v>37</v>
      </c>
      <c r="N17" s="73"/>
      <c r="O17" s="1"/>
      <c r="P17" s="23"/>
      <c r="Q17" s="23"/>
      <c r="S17" s="23"/>
      <c r="T17" s="23"/>
      <c r="U17" s="23"/>
    </row>
    <row r="18" spans="2:21" ht="22.5" customHeight="1" x14ac:dyDescent="0.4">
      <c r="B18" s="1"/>
      <c r="C18" s="71"/>
      <c r="D18" s="32">
        <v>0.34722222222222199</v>
      </c>
      <c r="E18" s="20" t="s">
        <v>22</v>
      </c>
      <c r="F18" s="20" t="s">
        <v>24</v>
      </c>
      <c r="G18" s="20"/>
      <c r="H18" s="21"/>
      <c r="I18" s="33"/>
      <c r="J18" s="18">
        <v>0.35555555555555601</v>
      </c>
      <c r="K18" s="20" t="s">
        <v>28</v>
      </c>
      <c r="L18" s="20" t="s">
        <v>30</v>
      </c>
      <c r="M18" s="20"/>
      <c r="N18" s="21"/>
      <c r="O18" s="1"/>
      <c r="P18" s="23"/>
      <c r="Q18" s="23"/>
    </row>
    <row r="19" spans="2:21" ht="22.5" customHeight="1" x14ac:dyDescent="0.4">
      <c r="B19" s="1"/>
      <c r="C19" s="71"/>
      <c r="D19" s="34">
        <v>0.36388888888888898</v>
      </c>
      <c r="E19" s="20" t="s">
        <v>25</v>
      </c>
      <c r="F19" s="20" t="s">
        <v>26</v>
      </c>
      <c r="G19" s="35"/>
      <c r="H19" s="36"/>
      <c r="I19" s="16"/>
      <c r="J19" s="18">
        <v>0.37222222222222201</v>
      </c>
      <c r="K19" s="20" t="s">
        <v>31</v>
      </c>
      <c r="L19" s="20" t="s">
        <v>32</v>
      </c>
      <c r="M19" s="35"/>
      <c r="N19" s="36"/>
      <c r="O19" s="1"/>
    </row>
    <row r="20" spans="2:21" ht="22.5" customHeight="1" x14ac:dyDescent="0.4">
      <c r="B20" s="1"/>
      <c r="C20" s="71"/>
      <c r="D20" s="37">
        <v>0.38055555555555598</v>
      </c>
      <c r="E20" s="20" t="s">
        <v>27</v>
      </c>
      <c r="F20" s="20" t="s">
        <v>24</v>
      </c>
      <c r="G20" s="20"/>
      <c r="H20" s="21"/>
      <c r="I20" s="16"/>
      <c r="J20" s="18">
        <v>0.38888888888888901</v>
      </c>
      <c r="K20" s="20" t="s">
        <v>30</v>
      </c>
      <c r="L20" s="20" t="s">
        <v>33</v>
      </c>
      <c r="M20" s="20"/>
      <c r="N20" s="21"/>
      <c r="O20" s="1"/>
    </row>
    <row r="21" spans="2:21" ht="22.5" customHeight="1" x14ac:dyDescent="0.4">
      <c r="B21" s="1"/>
      <c r="C21" s="71"/>
      <c r="D21" s="34">
        <v>0.39722222222222198</v>
      </c>
      <c r="E21" s="20" t="s">
        <v>22</v>
      </c>
      <c r="F21" s="20" t="s">
        <v>25</v>
      </c>
      <c r="G21" s="35"/>
      <c r="H21" s="36"/>
      <c r="I21" s="16"/>
      <c r="J21" s="18">
        <v>0.405555555555556</v>
      </c>
      <c r="K21" s="20" t="s">
        <v>28</v>
      </c>
      <c r="L21" s="20" t="s">
        <v>31</v>
      </c>
      <c r="M21" s="35"/>
      <c r="N21" s="36"/>
      <c r="O21" s="1"/>
    </row>
    <row r="22" spans="2:21" ht="22.5" customHeight="1" x14ac:dyDescent="0.4">
      <c r="B22" s="1"/>
      <c r="C22" s="71"/>
      <c r="D22" s="37">
        <v>0.41388888888888897</v>
      </c>
      <c r="E22" s="20" t="s">
        <v>26</v>
      </c>
      <c r="F22" s="20" t="s">
        <v>27</v>
      </c>
      <c r="G22" s="20"/>
      <c r="H22" s="21"/>
      <c r="I22" s="16"/>
      <c r="J22" s="18">
        <v>0.422222222222222</v>
      </c>
      <c r="K22" s="20" t="s">
        <v>32</v>
      </c>
      <c r="L22" s="20" t="s">
        <v>33</v>
      </c>
      <c r="M22" s="20"/>
      <c r="N22" s="21"/>
      <c r="O22" s="1"/>
    </row>
    <row r="23" spans="2:21" ht="22.5" customHeight="1" x14ac:dyDescent="0.4">
      <c r="B23" s="1"/>
      <c r="C23" s="71"/>
      <c r="D23" s="34">
        <v>0.43055555555555602</v>
      </c>
      <c r="E23" s="20" t="s">
        <v>24</v>
      </c>
      <c r="F23" s="20" t="s">
        <v>25</v>
      </c>
      <c r="G23" s="35"/>
      <c r="H23" s="36"/>
      <c r="I23" s="16"/>
      <c r="J23" s="24">
        <v>0.43888888888888899</v>
      </c>
      <c r="K23" s="20" t="s">
        <v>31</v>
      </c>
      <c r="L23" s="20" t="s">
        <v>30</v>
      </c>
      <c r="M23" s="25"/>
      <c r="N23" s="26"/>
      <c r="O23" s="1"/>
    </row>
    <row r="24" spans="2:21" ht="22.5" customHeight="1" x14ac:dyDescent="0.4">
      <c r="B24" s="1"/>
      <c r="C24" s="71"/>
      <c r="D24" s="34">
        <v>0.44722222222222202</v>
      </c>
      <c r="E24" s="20" t="s">
        <v>22</v>
      </c>
      <c r="F24" s="20" t="s">
        <v>26</v>
      </c>
      <c r="G24" s="20"/>
      <c r="H24" s="20"/>
      <c r="I24" s="1"/>
      <c r="J24" s="18">
        <v>0.45555555555555599</v>
      </c>
      <c r="K24" s="20" t="s">
        <v>28</v>
      </c>
      <c r="L24" s="20" t="s">
        <v>32</v>
      </c>
      <c r="M24" s="20"/>
      <c r="N24" s="20"/>
      <c r="O24" s="1"/>
    </row>
    <row r="25" spans="2:21" ht="22.5" customHeight="1" x14ac:dyDescent="0.4">
      <c r="B25" s="1"/>
      <c r="C25" s="71"/>
      <c r="D25" s="34">
        <v>0.46388888888888902</v>
      </c>
      <c r="E25" s="20" t="s">
        <v>25</v>
      </c>
      <c r="F25" s="20" t="s">
        <v>27</v>
      </c>
      <c r="G25" s="20"/>
      <c r="H25" s="20"/>
      <c r="I25" s="1"/>
      <c r="J25" s="18">
        <v>0.47222222222222199</v>
      </c>
      <c r="K25" s="20" t="s">
        <v>31</v>
      </c>
      <c r="L25" s="20" t="s">
        <v>33</v>
      </c>
      <c r="M25" s="20"/>
      <c r="N25" s="20"/>
      <c r="O25" s="1"/>
    </row>
    <row r="26" spans="2:21" ht="22.5" customHeight="1" x14ac:dyDescent="0.4">
      <c r="B26" s="1"/>
      <c r="C26" s="71"/>
      <c r="D26" s="34">
        <v>0.48055555555555601</v>
      </c>
      <c r="E26" s="20" t="s">
        <v>24</v>
      </c>
      <c r="F26" s="20" t="s">
        <v>26</v>
      </c>
      <c r="G26" s="20"/>
      <c r="H26" s="20"/>
      <c r="I26" s="1"/>
      <c r="J26" s="18">
        <v>0.48888888888888898</v>
      </c>
      <c r="K26" s="20" t="s">
        <v>30</v>
      </c>
      <c r="L26" s="20" t="s">
        <v>32</v>
      </c>
      <c r="M26" s="20"/>
      <c r="N26" s="20"/>
      <c r="O26" s="1"/>
    </row>
    <row r="27" spans="2:21" ht="22.5" customHeight="1" x14ac:dyDescent="0.4">
      <c r="B27" s="1"/>
      <c r="C27" s="71"/>
      <c r="D27" s="34">
        <v>0.49722222222222201</v>
      </c>
      <c r="E27" s="20" t="s">
        <v>22</v>
      </c>
      <c r="F27" s="20" t="s">
        <v>27</v>
      </c>
      <c r="G27" s="20"/>
      <c r="H27" s="20"/>
      <c r="I27" s="1"/>
      <c r="J27" s="18">
        <v>0.50555555555555598</v>
      </c>
      <c r="K27" s="20" t="s">
        <v>28</v>
      </c>
      <c r="L27" s="20" t="s">
        <v>33</v>
      </c>
      <c r="M27" s="20"/>
      <c r="N27" s="20"/>
      <c r="O27" s="1"/>
    </row>
    <row r="28" spans="2:21" ht="16.5" customHeight="1" x14ac:dyDescent="0.3">
      <c r="B28" s="1"/>
      <c r="C28" s="1"/>
      <c r="D28" s="1"/>
      <c r="E28" s="28" t="s">
        <v>38</v>
      </c>
      <c r="F28" s="28" t="s">
        <v>39</v>
      </c>
      <c r="G28" s="1"/>
      <c r="H28" s="1"/>
      <c r="I28" s="1"/>
      <c r="J28" s="1"/>
      <c r="K28" s="28" t="s">
        <v>38</v>
      </c>
      <c r="L28" s="28" t="s">
        <v>39</v>
      </c>
      <c r="M28" s="1"/>
      <c r="N28" s="1"/>
      <c r="O28" s="1"/>
    </row>
    <row r="29" spans="2:21" ht="15.75" customHeight="1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</sheetData>
  <mergeCells count="11">
    <mergeCell ref="D4:N4"/>
    <mergeCell ref="C5:C15"/>
    <mergeCell ref="E5:F5"/>
    <mergeCell ref="G5:H5"/>
    <mergeCell ref="K5:L5"/>
    <mergeCell ref="M5:N5"/>
    <mergeCell ref="C17:C27"/>
    <mergeCell ref="E17:F17"/>
    <mergeCell ref="G17:H17"/>
    <mergeCell ref="K17:L17"/>
    <mergeCell ref="M17:N17"/>
  </mergeCells>
  <pageMargins left="0.7" right="0.7" top="0.75" bottom="0.75" header="0.511811023622047" footer="0.511811023622047"/>
  <pageSetup paperSize="8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9"/>
  <sheetViews>
    <sheetView zoomScaleNormal="100" workbookViewId="0">
      <selection activeCell="P14" sqref="P14"/>
    </sheetView>
  </sheetViews>
  <sheetFormatPr defaultColWidth="11.44140625" defaultRowHeight="14.4" x14ac:dyDescent="0.3"/>
  <cols>
    <col min="1" max="1" width="3.88671875" customWidth="1"/>
    <col min="4" max="4" width="12.44140625" customWidth="1"/>
    <col min="7" max="7" width="5.109375" customWidth="1"/>
    <col min="10" max="10" width="12.44140625" customWidth="1"/>
    <col min="13" max="13" width="4.33203125" customWidth="1"/>
  </cols>
  <sheetData>
    <row r="1" spans="1:13" ht="15.75" customHeight="1" x14ac:dyDescent="0.3">
      <c r="A1" s="8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37.5" customHeight="1" x14ac:dyDescent="0.7">
      <c r="A2" s="81"/>
      <c r="B2" s="75" t="s">
        <v>41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1"/>
    </row>
    <row r="3" spans="1:13" ht="27.75" customHeight="1" x14ac:dyDescent="0.5">
      <c r="A3" s="81"/>
      <c r="B3" s="82" t="s">
        <v>35</v>
      </c>
      <c r="C3" s="82"/>
      <c r="D3" s="82"/>
      <c r="E3" s="82"/>
      <c r="F3" s="82"/>
      <c r="G3" s="38"/>
      <c r="H3" s="82" t="s">
        <v>40</v>
      </c>
      <c r="I3" s="82"/>
      <c r="J3" s="82"/>
      <c r="K3" s="82"/>
      <c r="L3" s="82"/>
      <c r="M3" s="1"/>
    </row>
    <row r="4" spans="1:13" ht="22.5" customHeight="1" x14ac:dyDescent="0.4">
      <c r="A4" s="81"/>
      <c r="B4" s="18" t="s">
        <v>36</v>
      </c>
      <c r="C4" s="79" t="s">
        <v>42</v>
      </c>
      <c r="D4" s="79"/>
      <c r="E4" s="80" t="s">
        <v>37</v>
      </c>
      <c r="F4" s="80"/>
      <c r="G4" s="16"/>
      <c r="H4" s="32" t="s">
        <v>36</v>
      </c>
      <c r="I4" s="79" t="s">
        <v>42</v>
      </c>
      <c r="J4" s="79"/>
      <c r="K4" s="80" t="s">
        <v>37</v>
      </c>
      <c r="L4" s="80"/>
      <c r="M4" s="1"/>
    </row>
    <row r="5" spans="1:13" ht="20.25" customHeight="1" x14ac:dyDescent="0.35">
      <c r="A5" s="81"/>
      <c r="B5" s="39">
        <v>0.51736111111111105</v>
      </c>
      <c r="C5" s="40"/>
      <c r="D5" s="41"/>
      <c r="E5" s="42"/>
      <c r="F5" s="43"/>
      <c r="G5" s="16"/>
      <c r="H5" s="39">
        <v>0.51736111111111105</v>
      </c>
      <c r="I5" s="40"/>
      <c r="J5" s="41"/>
      <c r="K5" s="42"/>
      <c r="L5" s="43"/>
      <c r="M5" s="1"/>
    </row>
    <row r="6" spans="1:13" ht="20.25" customHeight="1" x14ac:dyDescent="0.35">
      <c r="A6" s="81"/>
      <c r="B6" s="44">
        <v>0.52708333333333302</v>
      </c>
      <c r="C6" s="45"/>
      <c r="D6" s="46"/>
      <c r="E6" s="42"/>
      <c r="F6" s="43"/>
      <c r="G6" s="16"/>
      <c r="H6" s="44">
        <v>0.52708333333333302</v>
      </c>
      <c r="I6" s="45"/>
      <c r="J6" s="47"/>
      <c r="K6" s="42"/>
      <c r="L6" s="43"/>
      <c r="M6" s="1"/>
    </row>
    <row r="7" spans="1:13" ht="17.25" customHeight="1" x14ac:dyDescent="0.3">
      <c r="A7" s="81"/>
      <c r="B7" s="48"/>
      <c r="C7" s="49" t="s">
        <v>38</v>
      </c>
      <c r="D7" s="49" t="s">
        <v>39</v>
      </c>
      <c r="E7" s="50"/>
      <c r="F7" s="1"/>
      <c r="G7" s="1"/>
      <c r="H7" s="51"/>
      <c r="I7" s="49" t="s">
        <v>38</v>
      </c>
      <c r="J7" s="52" t="s">
        <v>39</v>
      </c>
      <c r="K7" s="53"/>
      <c r="L7" s="1"/>
      <c r="M7" s="1"/>
    </row>
    <row r="8" spans="1:13" ht="16.5" customHeight="1" x14ac:dyDescent="0.3">
      <c r="A8" s="81"/>
      <c r="B8" s="30"/>
      <c r="C8" s="1"/>
      <c r="D8" s="1"/>
      <c r="E8" s="1"/>
      <c r="F8" s="1"/>
      <c r="G8" s="1"/>
      <c r="H8" s="1"/>
      <c r="I8" s="54"/>
      <c r="J8" s="1"/>
      <c r="K8" s="1"/>
      <c r="L8" s="1"/>
      <c r="M8" s="1"/>
    </row>
    <row r="9" spans="1:13" ht="37.5" customHeight="1" x14ac:dyDescent="0.7">
      <c r="A9" s="81"/>
      <c r="B9" s="83" t="s">
        <v>43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1"/>
    </row>
    <row r="10" spans="1:13" ht="27.75" customHeight="1" x14ac:dyDescent="0.5">
      <c r="A10" s="81"/>
      <c r="B10" s="82" t="s">
        <v>35</v>
      </c>
      <c r="C10" s="82"/>
      <c r="D10" s="82"/>
      <c r="E10" s="82"/>
      <c r="F10" s="82"/>
      <c r="G10" s="38"/>
      <c r="H10" s="82" t="s">
        <v>40</v>
      </c>
      <c r="I10" s="82"/>
      <c r="J10" s="82"/>
      <c r="K10" s="82"/>
      <c r="L10" s="82"/>
      <c r="M10" s="1"/>
    </row>
    <row r="11" spans="1:13" ht="22.5" customHeight="1" x14ac:dyDescent="0.4">
      <c r="A11" s="81"/>
      <c r="B11" s="18" t="s">
        <v>36</v>
      </c>
      <c r="C11" s="79" t="s">
        <v>42</v>
      </c>
      <c r="D11" s="79"/>
      <c r="E11" s="80" t="s">
        <v>37</v>
      </c>
      <c r="F11" s="80"/>
      <c r="G11" s="16"/>
      <c r="H11" s="32" t="s">
        <v>36</v>
      </c>
      <c r="I11" s="79" t="s">
        <v>42</v>
      </c>
      <c r="J11" s="79"/>
      <c r="K11" s="80" t="s">
        <v>37</v>
      </c>
      <c r="L11" s="80"/>
      <c r="M11" s="1"/>
    </row>
    <row r="12" spans="1:13" ht="20.25" customHeight="1" x14ac:dyDescent="0.35">
      <c r="A12" s="81"/>
      <c r="B12" s="39">
        <v>0.53819444444444398</v>
      </c>
      <c r="C12" s="40"/>
      <c r="D12" s="41"/>
      <c r="E12" s="42"/>
      <c r="F12" s="55"/>
      <c r="G12" s="16"/>
      <c r="H12" s="39">
        <v>0.53819444444444398</v>
      </c>
      <c r="I12" s="40"/>
      <c r="J12" s="41"/>
      <c r="K12" s="42"/>
      <c r="L12" s="43"/>
      <c r="M12" s="1"/>
    </row>
    <row r="13" spans="1:13" ht="17.25" customHeight="1" x14ac:dyDescent="0.3">
      <c r="A13" s="81"/>
      <c r="B13" s="56"/>
      <c r="C13" s="57" t="s">
        <v>38</v>
      </c>
      <c r="D13" s="58" t="s">
        <v>39</v>
      </c>
      <c r="E13" s="53"/>
      <c r="F13" s="59"/>
      <c r="G13" s="1"/>
      <c r="H13" s="27"/>
      <c r="I13" s="49" t="s">
        <v>38</v>
      </c>
      <c r="J13" s="52" t="s">
        <v>39</v>
      </c>
      <c r="K13" s="60"/>
      <c r="L13" s="1"/>
      <c r="M13" s="1"/>
    </row>
    <row r="14" spans="1:13" ht="16.5" customHeight="1" x14ac:dyDescent="0.3">
      <c r="A14" s="81"/>
      <c r="B14" s="1"/>
      <c r="C14" s="59"/>
      <c r="D14" s="59"/>
      <c r="E14" s="1"/>
      <c r="F14" s="1"/>
      <c r="G14" s="1"/>
      <c r="H14" s="30"/>
      <c r="I14" s="30"/>
      <c r="J14" s="30"/>
      <c r="K14" s="30"/>
      <c r="L14" s="30"/>
      <c r="M14" s="1"/>
    </row>
    <row r="15" spans="1:13" ht="37.5" customHeight="1" x14ac:dyDescent="0.7">
      <c r="A15" s="81"/>
      <c r="B15" s="84" t="s">
        <v>44</v>
      </c>
      <c r="C15" s="84"/>
      <c r="D15" s="84"/>
      <c r="E15" s="84"/>
      <c r="F15" s="84"/>
      <c r="G15" s="38"/>
      <c r="H15" s="78" t="s">
        <v>45</v>
      </c>
      <c r="I15" s="78"/>
      <c r="J15" s="78"/>
      <c r="K15" s="78"/>
      <c r="L15" s="78"/>
      <c r="M15" s="1"/>
    </row>
    <row r="16" spans="1:13" ht="22.5" customHeight="1" x14ac:dyDescent="0.4">
      <c r="A16" s="81"/>
      <c r="B16" s="18" t="s">
        <v>36</v>
      </c>
      <c r="C16" s="79" t="s">
        <v>42</v>
      </c>
      <c r="D16" s="79"/>
      <c r="E16" s="80" t="s">
        <v>37</v>
      </c>
      <c r="F16" s="80"/>
      <c r="G16" s="16"/>
      <c r="H16" s="32" t="s">
        <v>36</v>
      </c>
      <c r="I16" s="79" t="s">
        <v>42</v>
      </c>
      <c r="J16" s="79"/>
      <c r="K16" s="80" t="s">
        <v>37</v>
      </c>
      <c r="L16" s="80"/>
      <c r="M16" s="1"/>
    </row>
    <row r="17" spans="1:13" ht="20.25" customHeight="1" x14ac:dyDescent="0.35">
      <c r="A17" s="81"/>
      <c r="B17" s="39">
        <v>0.54861111111111105</v>
      </c>
      <c r="C17" s="40"/>
      <c r="D17" s="41"/>
      <c r="E17" s="42"/>
      <c r="F17" s="55"/>
      <c r="G17" s="16"/>
      <c r="H17" s="39">
        <v>0.55902777777777801</v>
      </c>
      <c r="I17" s="40"/>
      <c r="J17" s="41"/>
      <c r="K17" s="42"/>
      <c r="L17" s="55"/>
      <c r="M17" s="1"/>
    </row>
    <row r="18" spans="1:13" ht="17.25" customHeight="1" x14ac:dyDescent="0.3">
      <c r="A18" s="81"/>
      <c r="B18" s="27"/>
      <c r="C18" s="61" t="s">
        <v>38</v>
      </c>
      <c r="D18" s="49" t="s">
        <v>39</v>
      </c>
      <c r="E18" s="50"/>
      <c r="F18" s="59"/>
      <c r="G18" s="1"/>
      <c r="H18" s="27"/>
      <c r="I18" s="49" t="s">
        <v>38</v>
      </c>
      <c r="J18" s="58" t="s">
        <v>39</v>
      </c>
      <c r="K18" s="53"/>
      <c r="L18" s="59"/>
      <c r="M18" s="1"/>
    </row>
    <row r="19" spans="1:13" ht="15.75" customHeight="1" x14ac:dyDescent="0.3">
      <c r="A19" s="81"/>
      <c r="B19" s="1"/>
      <c r="C19" s="59"/>
      <c r="D19" s="1"/>
      <c r="E19" s="1"/>
      <c r="F19" s="1"/>
      <c r="G19" s="1"/>
      <c r="H19" s="1"/>
      <c r="I19" s="59"/>
      <c r="J19" s="59"/>
      <c r="K19" s="1"/>
      <c r="L19" s="1"/>
      <c r="M19" s="1"/>
    </row>
  </sheetData>
  <mergeCells count="21">
    <mergeCell ref="A1:A19"/>
    <mergeCell ref="B2:L2"/>
    <mergeCell ref="B3:F3"/>
    <mergeCell ref="H3:L3"/>
    <mergeCell ref="C4:D4"/>
    <mergeCell ref="E4:F4"/>
    <mergeCell ref="I4:J4"/>
    <mergeCell ref="K4:L4"/>
    <mergeCell ref="B9:L9"/>
    <mergeCell ref="B10:F10"/>
    <mergeCell ref="H10:L10"/>
    <mergeCell ref="C11:D11"/>
    <mergeCell ref="E11:F11"/>
    <mergeCell ref="I11:J11"/>
    <mergeCell ref="K11:L11"/>
    <mergeCell ref="B15:F15"/>
    <mergeCell ref="H15:L15"/>
    <mergeCell ref="C16:D16"/>
    <mergeCell ref="E16:F16"/>
    <mergeCell ref="I16:J16"/>
    <mergeCell ref="K16:L16"/>
  </mergeCells>
  <pageMargins left="0.7" right="0.7" top="0.78749999999999998" bottom="0.78749999999999998" header="0.511811023622047" footer="0.511811023622047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1"/>
  <sheetViews>
    <sheetView zoomScaleNormal="100" workbookViewId="0">
      <selection activeCell="F7" sqref="F7"/>
    </sheetView>
  </sheetViews>
  <sheetFormatPr defaultColWidth="9.109375" defaultRowHeight="14.4" x14ac:dyDescent="0.3"/>
  <cols>
    <col min="2" max="2" width="16" customWidth="1"/>
    <col min="3" max="3" width="15.88671875" customWidth="1"/>
    <col min="4" max="4" width="15.33203125" customWidth="1"/>
    <col min="5" max="5" width="13.5546875" customWidth="1"/>
  </cols>
  <sheetData>
    <row r="1" spans="1:5" ht="18.75" customHeight="1" x14ac:dyDescent="0.35">
      <c r="A1" s="62" t="s">
        <v>42</v>
      </c>
      <c r="B1" s="62" t="s">
        <v>46</v>
      </c>
      <c r="C1" s="62" t="s">
        <v>47</v>
      </c>
      <c r="D1" s="62" t="s">
        <v>48</v>
      </c>
      <c r="E1" s="62" t="s">
        <v>49</v>
      </c>
    </row>
    <row r="2" spans="1:5" ht="21" customHeight="1" x14ac:dyDescent="0.4">
      <c r="A2">
        <v>1</v>
      </c>
      <c r="B2" s="63" t="str">
        <f>IF(AND(Gruppenphase!G6&lt;&gt;"",Gruppenphase!H6&lt;&gt;""),Gruppenphase!E6,"")</f>
        <v/>
      </c>
      <c r="C2" s="64" t="str">
        <f>IF(AND(Gruppenphase!G6&lt;&gt;"",Gruppenphase!H6&lt;&gt;""),Gruppenphase!F6,"")</f>
        <v/>
      </c>
      <c r="D2" s="64" t="str">
        <f>IF(AND(Gruppenphase!G6&lt;&gt;"",Gruppenphase!H6&lt;&gt;""),Gruppenphase!G6,"")</f>
        <v/>
      </c>
      <c r="E2" s="64" t="str">
        <f>IF(AND(Gruppenphase!G6&lt;&gt;"",Gruppenphase!H6&lt;&gt;""),Gruppenphase!H6,"")</f>
        <v/>
      </c>
    </row>
    <row r="3" spans="1:5" ht="21" customHeight="1" x14ac:dyDescent="0.4">
      <c r="A3">
        <v>2</v>
      </c>
      <c r="B3" s="65" t="str">
        <f>IF(AND(Gruppenphase!G7&lt;&gt;"",Gruppenphase!H7&lt;&gt;""),Gruppenphase!E7,"")</f>
        <v/>
      </c>
      <c r="C3" s="66" t="str">
        <f>IF(AND(Gruppenphase!G7&lt;&gt;"",Gruppenphase!H7&lt;&gt;""),Gruppenphase!F7,"")</f>
        <v/>
      </c>
      <c r="D3" s="66" t="str">
        <f>IF(AND(Gruppenphase!G7&lt;&gt;"",Gruppenphase!H7&lt;&gt;""),Gruppenphase!G7,"")</f>
        <v/>
      </c>
      <c r="E3" s="66" t="str">
        <f>IF(AND(Gruppenphase!G7&lt;&gt;"",Gruppenphase!H7&lt;&gt;""),Gruppenphase!H7,"")</f>
        <v/>
      </c>
    </row>
    <row r="4" spans="1:5" ht="21" customHeight="1" x14ac:dyDescent="0.4">
      <c r="A4">
        <v>3</v>
      </c>
      <c r="B4" s="65" t="str">
        <f>IF(AND(Gruppenphase!G8&lt;&gt;"",Gruppenphase!H8&lt;&gt;""),Gruppenphase!E8,"")</f>
        <v/>
      </c>
      <c r="C4" s="66" t="str">
        <f>IF(AND(Gruppenphase!G8&lt;&gt;"",Gruppenphase!H8&lt;&gt;""),Gruppenphase!F8,"")</f>
        <v/>
      </c>
      <c r="D4" s="66" t="str">
        <f>IF(AND(Gruppenphase!G8&lt;&gt;"",Gruppenphase!H8&lt;&gt;""),Gruppenphase!G8,"")</f>
        <v/>
      </c>
      <c r="E4" s="66" t="str">
        <f>IF(AND(Gruppenphase!G8&lt;&gt;"",Gruppenphase!H8&lt;&gt;""),Gruppenphase!H8,"")</f>
        <v/>
      </c>
    </row>
    <row r="5" spans="1:5" ht="21" customHeight="1" x14ac:dyDescent="0.4">
      <c r="A5">
        <v>4</v>
      </c>
      <c r="B5" s="65" t="str">
        <f>IF(AND(Gruppenphase!G9&lt;&gt;"",Gruppenphase!H9&lt;&gt;""),Gruppenphase!E9,"")</f>
        <v/>
      </c>
      <c r="C5" s="66" t="str">
        <f>IF(AND(Gruppenphase!G9&lt;&gt;"",Gruppenphase!H9&lt;&gt;""),Gruppenphase!F9,"")</f>
        <v/>
      </c>
      <c r="D5" s="66" t="str">
        <f>IF(AND(Gruppenphase!G9&lt;&gt;"",Gruppenphase!H9&lt;&gt;""),Gruppenphase!G9,"")</f>
        <v/>
      </c>
      <c r="E5" s="66" t="str">
        <f>IF(AND(Gruppenphase!G9&lt;&gt;"",Gruppenphase!H9&lt;&gt;""),Gruppenphase!H9,"")</f>
        <v/>
      </c>
    </row>
    <row r="6" spans="1:5" ht="21" customHeight="1" x14ac:dyDescent="0.4">
      <c r="A6">
        <v>5</v>
      </c>
      <c r="B6" s="65" t="str">
        <f>IF(AND(Gruppenphase!G10&lt;&gt;"",Gruppenphase!H10&lt;&gt;""),Gruppenphase!E10,"")</f>
        <v/>
      </c>
      <c r="C6" s="66" t="str">
        <f>IF(AND(Gruppenphase!G10&lt;&gt;"",Gruppenphase!H10&lt;&gt;""),Gruppenphase!F10,"")</f>
        <v/>
      </c>
      <c r="D6" s="66" t="str">
        <f>IF(AND(Gruppenphase!G10&lt;&gt;"",Gruppenphase!H10&lt;&gt;""),Gruppenphase!G10,"")</f>
        <v/>
      </c>
      <c r="E6" s="66" t="str">
        <f>IF(AND(Gruppenphase!G10&lt;&gt;"",Gruppenphase!H10&lt;&gt;""),Gruppenphase!H10,"")</f>
        <v/>
      </c>
    </row>
    <row r="7" spans="1:5" ht="21" customHeight="1" x14ac:dyDescent="0.4">
      <c r="A7">
        <v>6</v>
      </c>
      <c r="B7" s="65" t="str">
        <f>IF(AND(Gruppenphase!G11&lt;&gt;"",Gruppenphase!H11&lt;&gt;""),Gruppenphase!E11,"")</f>
        <v/>
      </c>
      <c r="C7" s="66" t="str">
        <f>IF(AND(Gruppenphase!G11&lt;&gt;"",Gruppenphase!H11&lt;&gt;""),Gruppenphase!F11,"")</f>
        <v/>
      </c>
      <c r="D7" s="66" t="str">
        <f>IF(AND(Gruppenphase!G11&lt;&gt;"",Gruppenphase!H11&lt;&gt;""),Gruppenphase!G11,"")</f>
        <v/>
      </c>
      <c r="E7" s="66" t="str">
        <f>IF(AND(Gruppenphase!G11&lt;&gt;"",Gruppenphase!H11&lt;&gt;""),Gruppenphase!H11,"")</f>
        <v/>
      </c>
    </row>
    <row r="8" spans="1:5" ht="21" customHeight="1" x14ac:dyDescent="0.4">
      <c r="A8">
        <v>7</v>
      </c>
      <c r="B8" s="65" t="str">
        <f>IF(AND(Gruppenphase!G12&lt;&gt;"",Gruppenphase!H12&lt;&gt;""),Gruppenphase!E12,"")</f>
        <v/>
      </c>
      <c r="C8" s="66" t="str">
        <f>IF(AND(Gruppenphase!G12&lt;&gt;"",Gruppenphase!H12&lt;&gt;""),Gruppenphase!F12,"")</f>
        <v/>
      </c>
      <c r="D8" s="66" t="str">
        <f>IF(AND(Gruppenphase!G12&lt;&gt;"",Gruppenphase!H12&lt;&gt;""),Gruppenphase!G12,"")</f>
        <v/>
      </c>
      <c r="E8" s="66" t="str">
        <f>IF(AND(Gruppenphase!G12&lt;&gt;"",Gruppenphase!H12&lt;&gt;""),Gruppenphase!H12,"")</f>
        <v/>
      </c>
    </row>
    <row r="9" spans="1:5" ht="21" customHeight="1" x14ac:dyDescent="0.4">
      <c r="A9">
        <v>8</v>
      </c>
      <c r="B9" s="65" t="str">
        <f>IF(AND(Gruppenphase!G13&lt;&gt;"",Gruppenphase!H13&lt;&gt;""),Gruppenphase!E13,"")</f>
        <v/>
      </c>
      <c r="C9" s="66" t="str">
        <f>IF(AND(Gruppenphase!G13&lt;&gt;"",Gruppenphase!H13&lt;&gt;""),Gruppenphase!F13,"")</f>
        <v/>
      </c>
      <c r="D9" s="66" t="str">
        <f>IF(AND(Gruppenphase!G13&lt;&gt;"",Gruppenphase!H13&lt;&gt;""),Gruppenphase!G13,"")</f>
        <v/>
      </c>
      <c r="E9" s="66" t="str">
        <f>IF(AND(Gruppenphase!G13&lt;&gt;"",Gruppenphase!H13&lt;&gt;""),Gruppenphase!H13,"")</f>
        <v/>
      </c>
    </row>
    <row r="10" spans="1:5" ht="21" customHeight="1" x14ac:dyDescent="0.4">
      <c r="A10">
        <v>9</v>
      </c>
      <c r="B10" s="65" t="str">
        <f>IF(AND(Gruppenphase!G14&lt;&gt;"",Gruppenphase!H14&lt;&gt;""),Gruppenphase!E14,"")</f>
        <v/>
      </c>
      <c r="C10" s="66" t="str">
        <f>IF(AND(Gruppenphase!G14&lt;&gt;"",Gruppenphase!H14&lt;&gt;""),Gruppenphase!F14,"")</f>
        <v/>
      </c>
      <c r="D10" s="66" t="str">
        <f>IF(AND(Gruppenphase!G14&lt;&gt;"",Gruppenphase!H14&lt;&gt;""),Gruppenphase!G14,"")</f>
        <v/>
      </c>
      <c r="E10" s="66" t="str">
        <f>IF(AND(Gruppenphase!G14&lt;&gt;"",Gruppenphase!H14&lt;&gt;""),Gruppenphase!H14,"")</f>
        <v/>
      </c>
    </row>
    <row r="11" spans="1:5" ht="21" customHeight="1" x14ac:dyDescent="0.4">
      <c r="A11">
        <v>10</v>
      </c>
      <c r="B11" s="65" t="str">
        <f>IF(AND(Gruppenphase!G15&lt;&gt;"",Gruppenphase!H15&lt;&gt;""),Gruppenphase!E15,"")</f>
        <v/>
      </c>
      <c r="C11" s="66" t="str">
        <f>IF(AND(Gruppenphase!G15&lt;&gt;"",Gruppenphase!H15&lt;&gt;""),Gruppenphase!F15,"")</f>
        <v/>
      </c>
      <c r="D11" s="66" t="str">
        <f>IF(AND(Gruppenphase!G15&lt;&gt;"",Gruppenphase!H15&lt;&gt;""),Gruppenphase!G15,"")</f>
        <v/>
      </c>
      <c r="E11" s="66" t="str">
        <f>IF(AND(Gruppenphase!G15&lt;&gt;"",Gruppenphase!H15&lt;&gt;""),Gruppenphase!H15,"")</f>
        <v/>
      </c>
    </row>
    <row r="12" spans="1:5" ht="21" customHeight="1" x14ac:dyDescent="0.4">
      <c r="A12">
        <v>11</v>
      </c>
      <c r="B12" s="66" t="str">
        <f>IF(AND(Gruppenphase!M6&lt;&gt;"",Gruppenphase!N6&lt;&gt;""),Gruppenphase!K6,"")</f>
        <v/>
      </c>
      <c r="C12" s="66" t="str">
        <f>IF(AND(Gruppenphase!M6&lt;&gt;"",Gruppenphase!N6&lt;&gt;""),Gruppenphase!L6,"")</f>
        <v/>
      </c>
      <c r="D12" s="66" t="str">
        <f>IF(AND(Gruppenphase!M6&lt;&gt;"",Gruppenphase!N6&lt;&gt;""),Gruppenphase!M6,"")</f>
        <v/>
      </c>
      <c r="E12" s="66" t="str">
        <f>IF(AND(Gruppenphase!M6&lt;&gt;"",Gruppenphase!N6&lt;&gt;""),Gruppenphase!N6,"")</f>
        <v/>
      </c>
    </row>
    <row r="13" spans="1:5" ht="21" customHeight="1" x14ac:dyDescent="0.4">
      <c r="A13">
        <v>12</v>
      </c>
      <c r="B13" s="67" t="str">
        <f>IF(AND(Gruppenphase!M7&lt;&gt;"",Gruppenphase!N7&lt;&gt;""),Gruppenphase!K7,"")</f>
        <v/>
      </c>
      <c r="C13" s="68" t="str">
        <f>IF(AND(Gruppenphase!M7&lt;&gt;"",Gruppenphase!N7&lt;&gt;""),Gruppenphase!L7,"")</f>
        <v/>
      </c>
      <c r="D13" s="66" t="str">
        <f>IF(AND(Gruppenphase!M7&lt;&gt;"",Gruppenphase!N7&lt;&gt;""),Gruppenphase!M7,"")</f>
        <v/>
      </c>
      <c r="E13" s="66" t="str">
        <f>IF(AND(Gruppenphase!M7&lt;&gt;"",Gruppenphase!N7&lt;&gt;""),Gruppenphase!N7,"")</f>
        <v/>
      </c>
    </row>
    <row r="14" spans="1:5" ht="21" customHeight="1" x14ac:dyDescent="0.4">
      <c r="A14">
        <v>13</v>
      </c>
      <c r="B14" s="68" t="str">
        <f>IF(AND(Gruppenphase!M8&lt;&gt;"",Gruppenphase!N8&lt;&gt;""),Gruppenphase!K8,"")</f>
        <v/>
      </c>
      <c r="C14" s="67" t="str">
        <f>IF(AND(Gruppenphase!M8&lt;&gt;"",Gruppenphase!N8&lt;&gt;""),Gruppenphase!L8,"")</f>
        <v/>
      </c>
      <c r="D14" s="66" t="str">
        <f>IF(AND(Gruppenphase!M8&lt;&gt;"",Gruppenphase!N8&lt;&gt;""),Gruppenphase!M8,"")</f>
        <v/>
      </c>
      <c r="E14" s="66" t="str">
        <f>IF(AND(Gruppenphase!M8&lt;&gt;"",Gruppenphase!N8&lt;&gt;""),Gruppenphase!N8,"")</f>
        <v/>
      </c>
    </row>
    <row r="15" spans="1:5" ht="21" customHeight="1" x14ac:dyDescent="0.4">
      <c r="A15">
        <v>14</v>
      </c>
      <c r="B15" s="67" t="str">
        <f>IF(AND(Gruppenphase!M9&lt;&gt;"",Gruppenphase!N9&lt;&gt;""),Gruppenphase!K9,"")</f>
        <v/>
      </c>
      <c r="C15" s="68" t="str">
        <f>IF(AND(Gruppenphase!M9&lt;&gt;"",Gruppenphase!N9&lt;&gt;""),Gruppenphase!L9,"")</f>
        <v/>
      </c>
      <c r="D15" s="66" t="str">
        <f>IF(AND(Gruppenphase!M9&lt;&gt;"",Gruppenphase!N9&lt;&gt;""),Gruppenphase!M9,"")</f>
        <v/>
      </c>
      <c r="E15" s="66" t="str">
        <f>IF(AND(Gruppenphase!M9&lt;&gt;"",Gruppenphase!N9&lt;&gt;""),Gruppenphase!N9,"")</f>
        <v/>
      </c>
    </row>
    <row r="16" spans="1:5" ht="21" customHeight="1" x14ac:dyDescent="0.4">
      <c r="A16">
        <v>15</v>
      </c>
      <c r="B16" s="68" t="str">
        <f>IF(AND(Gruppenphase!M10&lt;&gt;"",Gruppenphase!N10&lt;&gt;""),Gruppenphase!K10,"")</f>
        <v/>
      </c>
      <c r="C16" s="67" t="str">
        <f>IF(AND(Gruppenphase!M10&lt;&gt;"",Gruppenphase!N10&lt;&gt;""),Gruppenphase!L10,"")</f>
        <v/>
      </c>
      <c r="D16" s="66" t="str">
        <f>IF(AND(Gruppenphase!M10&lt;&gt;"",Gruppenphase!N10&lt;&gt;""),Gruppenphase!M10,"")</f>
        <v/>
      </c>
      <c r="E16" s="66" t="str">
        <f>IF(AND(Gruppenphase!M10&lt;&gt;"",Gruppenphase!N10&lt;&gt;""),Gruppenphase!N10,"")</f>
        <v/>
      </c>
    </row>
    <row r="17" spans="1:5" ht="21" customHeight="1" x14ac:dyDescent="0.4">
      <c r="A17">
        <v>16</v>
      </c>
      <c r="B17" s="67" t="str">
        <f>IF(AND(Gruppenphase!M11&lt;&gt;"",Gruppenphase!N11&lt;&gt;""),Gruppenphase!K11,"")</f>
        <v/>
      </c>
      <c r="C17" s="67" t="str">
        <f>IF(AND(Gruppenphase!M11&lt;&gt;"",Gruppenphase!N11&lt;&gt;""),Gruppenphase!L11,"")</f>
        <v/>
      </c>
      <c r="D17" s="66" t="str">
        <f>IF(AND(Gruppenphase!M11&lt;&gt;"",Gruppenphase!N11&lt;&gt;""),Gruppenphase!M11,"")</f>
        <v/>
      </c>
      <c r="E17" s="66" t="str">
        <f>IF(AND(Gruppenphase!M11&lt;&gt;"",Gruppenphase!N11&lt;&gt;""),Gruppenphase!N11,"")</f>
        <v/>
      </c>
    </row>
    <row r="18" spans="1:5" ht="21" customHeight="1" x14ac:dyDescent="0.4">
      <c r="A18">
        <v>17</v>
      </c>
      <c r="B18" s="68" t="str">
        <f>IF(AND(Gruppenphase!M12&lt;&gt;"",Gruppenphase!N12&lt;&gt;""),Gruppenphase!K12,"")</f>
        <v/>
      </c>
      <c r="C18" s="67" t="str">
        <f>IF(AND(Gruppenphase!M12&lt;&gt;"",Gruppenphase!N12&lt;&gt;""),Gruppenphase!L12,"")</f>
        <v/>
      </c>
      <c r="D18" s="66" t="str">
        <f>IF(AND(Gruppenphase!M12&lt;&gt;"",Gruppenphase!N12&lt;&gt;""),Gruppenphase!M12,"")</f>
        <v/>
      </c>
      <c r="E18" s="66" t="str">
        <f>IF(AND(Gruppenphase!M12&lt;&gt;"",Gruppenphase!N12&lt;&gt;""),Gruppenphase!N12,"")</f>
        <v/>
      </c>
    </row>
    <row r="19" spans="1:5" ht="21" customHeight="1" x14ac:dyDescent="0.4">
      <c r="A19">
        <v>18</v>
      </c>
      <c r="B19" s="67" t="str">
        <f>IF(AND(Gruppenphase!M13&lt;&gt;"",Gruppenphase!N13&lt;&gt;""),Gruppenphase!K13,"")</f>
        <v/>
      </c>
      <c r="C19" s="67" t="str">
        <f>IF(AND(Gruppenphase!M13&lt;&gt;"",Gruppenphase!N13&lt;&gt;""),Gruppenphase!L13,"")</f>
        <v/>
      </c>
      <c r="D19" s="66" t="str">
        <f>IF(AND(Gruppenphase!M13&lt;&gt;"",Gruppenphase!N13&lt;&gt;""),Gruppenphase!M13,"")</f>
        <v/>
      </c>
      <c r="E19" s="66" t="str">
        <f>IF(AND(Gruppenphase!M13&lt;&gt;"",Gruppenphase!N13&lt;&gt;""),Gruppenphase!N13,"")</f>
        <v/>
      </c>
    </row>
    <row r="20" spans="1:5" ht="21" customHeight="1" x14ac:dyDescent="0.4">
      <c r="A20">
        <v>19</v>
      </c>
      <c r="B20" s="68" t="str">
        <f>IF(AND(Gruppenphase!M14&lt;&gt;"",Gruppenphase!N14&lt;&gt;""),Gruppenphase!K14,"")</f>
        <v/>
      </c>
      <c r="C20" s="67" t="str">
        <f>IF(AND(Gruppenphase!M14&lt;&gt;"",Gruppenphase!N14&lt;&gt;""),Gruppenphase!L14,"")</f>
        <v/>
      </c>
      <c r="D20" s="66" t="str">
        <f>IF(AND(Gruppenphase!M14&lt;&gt;"",Gruppenphase!N14&lt;&gt;""),Gruppenphase!M14,"")</f>
        <v/>
      </c>
      <c r="E20" s="66" t="str">
        <f>IF(AND(Gruppenphase!M14&lt;&gt;"",Gruppenphase!N14&lt;&gt;""),Gruppenphase!N14,"")</f>
        <v/>
      </c>
    </row>
    <row r="21" spans="1:5" ht="21" customHeight="1" x14ac:dyDescent="0.4">
      <c r="A21">
        <v>20</v>
      </c>
      <c r="B21" s="67" t="str">
        <f>IF(AND(Gruppenphase!M15&lt;&gt;"",Gruppenphase!N15&lt;&gt;""),Gruppenphase!K15,"")</f>
        <v/>
      </c>
      <c r="C21" s="67" t="str">
        <f>IF(AND(Gruppenphase!M15&lt;&gt;"",Gruppenphase!N15&lt;&gt;""),Gruppenphase!L15,"")</f>
        <v/>
      </c>
      <c r="D21" s="66" t="str">
        <f>IF(AND(Gruppenphase!M15&lt;&gt;"",Gruppenphase!N15&lt;&gt;""),Gruppenphase!M15,"")</f>
        <v/>
      </c>
      <c r="E21" s="66" t="str">
        <f>IF(AND(Gruppenphase!M15&lt;&gt;"",Gruppenphase!N15&lt;&gt;""),Gruppenphase!N15,"")</f>
        <v/>
      </c>
    </row>
    <row r="22" spans="1:5" ht="21" customHeight="1" x14ac:dyDescent="0.4">
      <c r="A22">
        <v>21</v>
      </c>
      <c r="B22" s="67" t="str">
        <f>IF(AND(Gruppenphase!G18&lt;&gt;"",Gruppenphase!H18&lt;&gt;""),Gruppenphase!E18,"")</f>
        <v/>
      </c>
      <c r="C22" s="67" t="str">
        <f>IF(AND(Gruppenphase!G18&lt;&gt;"",Gruppenphase!H18&lt;&gt;""),Gruppenphase!F18,"")</f>
        <v/>
      </c>
      <c r="D22" s="66" t="str">
        <f>IF(AND(Gruppenphase!G18&lt;&gt;"",Gruppenphase!H18&lt;&gt;""),Gruppenphase!G18,"")</f>
        <v/>
      </c>
      <c r="E22" s="66" t="str">
        <f>IF(AND(Gruppenphase!G18&lt;&gt;"",Gruppenphase!H18&lt;&gt;""),Gruppenphase!H18,"")</f>
        <v/>
      </c>
    </row>
    <row r="23" spans="1:5" ht="21" customHeight="1" x14ac:dyDescent="0.4">
      <c r="A23">
        <v>22</v>
      </c>
      <c r="B23" s="67" t="str">
        <f>IF(AND(Gruppenphase!G19&lt;&gt;"",Gruppenphase!H19&lt;&gt;""),Gruppenphase!E19,"")</f>
        <v/>
      </c>
      <c r="C23" s="67" t="str">
        <f>IF(AND(Gruppenphase!G19&lt;&gt;"",Gruppenphase!H19&lt;&gt;""),Gruppenphase!F19,"")</f>
        <v/>
      </c>
      <c r="D23" s="66" t="str">
        <f>IF(AND(Gruppenphase!G19&lt;&gt;"",Gruppenphase!H19&lt;&gt;""),Gruppenphase!G19,"")</f>
        <v/>
      </c>
      <c r="E23" s="66" t="str">
        <f>IF(AND(Gruppenphase!G19&lt;&gt;"",Gruppenphase!H19&lt;&gt;""),Gruppenphase!H19,"")</f>
        <v/>
      </c>
    </row>
    <row r="24" spans="1:5" ht="21" customHeight="1" x14ac:dyDescent="0.4">
      <c r="A24">
        <v>23</v>
      </c>
      <c r="B24" s="67" t="str">
        <f>IF(AND(Gruppenphase!G20&lt;&gt;"",Gruppenphase!H20&lt;&gt;""),Gruppenphase!E20,"")</f>
        <v/>
      </c>
      <c r="C24" s="67" t="str">
        <f>IF(AND(Gruppenphase!G20&lt;&gt;"",Gruppenphase!H20&lt;&gt;""),Gruppenphase!F20,"")</f>
        <v/>
      </c>
      <c r="D24" s="66" t="str">
        <f>IF(AND(Gruppenphase!G20&lt;&gt;"",Gruppenphase!H20&lt;&gt;""),Gruppenphase!G20,"")</f>
        <v/>
      </c>
      <c r="E24" s="66" t="str">
        <f>IF(AND(Gruppenphase!G20&lt;&gt;"",Gruppenphase!H20&lt;&gt;""),Gruppenphase!H20,"")</f>
        <v/>
      </c>
    </row>
    <row r="25" spans="1:5" ht="21" customHeight="1" x14ac:dyDescent="0.4">
      <c r="A25">
        <v>24</v>
      </c>
      <c r="B25" s="67" t="str">
        <f>IF(AND(Gruppenphase!G21&lt;&gt;"",Gruppenphase!H21&lt;&gt;""),Gruppenphase!E21,"")</f>
        <v/>
      </c>
      <c r="C25" s="67" t="str">
        <f>IF(AND(Gruppenphase!G21&lt;&gt;"",Gruppenphase!H21&lt;&gt;""),Gruppenphase!F21,"")</f>
        <v/>
      </c>
      <c r="D25" s="66" t="str">
        <f>IF(AND(Gruppenphase!G21&lt;&gt;"",Gruppenphase!H21&lt;&gt;""),Gruppenphase!G21,"")</f>
        <v/>
      </c>
      <c r="E25" s="66" t="str">
        <f>IF(AND(Gruppenphase!G21&lt;&gt;"",Gruppenphase!H21&lt;&gt;""),Gruppenphase!H21,"")</f>
        <v/>
      </c>
    </row>
    <row r="26" spans="1:5" ht="21" customHeight="1" x14ac:dyDescent="0.4">
      <c r="A26">
        <v>25</v>
      </c>
      <c r="B26" s="67" t="str">
        <f>IF(AND(Gruppenphase!G22&lt;&gt;"",Gruppenphase!H22&lt;&gt;""),Gruppenphase!E22,"")</f>
        <v/>
      </c>
      <c r="C26" s="67" t="str">
        <f>IF(AND(Gruppenphase!G22&lt;&gt;"",Gruppenphase!H22&lt;&gt;""),Gruppenphase!F22,"")</f>
        <v/>
      </c>
      <c r="D26" s="66" t="str">
        <f>IF(AND(Gruppenphase!G22&lt;&gt;"",Gruppenphase!H22&lt;&gt;""),Gruppenphase!G22,"")</f>
        <v/>
      </c>
      <c r="E26" s="66" t="str">
        <f>IF(AND(Gruppenphase!G22&lt;&gt;"",Gruppenphase!H22&lt;&gt;""),Gruppenphase!H22,"")</f>
        <v/>
      </c>
    </row>
    <row r="27" spans="1:5" ht="21" customHeight="1" x14ac:dyDescent="0.4">
      <c r="A27">
        <v>26</v>
      </c>
      <c r="B27" s="67" t="str">
        <f>IF(AND(Gruppenphase!G23&lt;&gt;"",Gruppenphase!H23&lt;&gt;""),Gruppenphase!E23,"")</f>
        <v/>
      </c>
      <c r="C27" s="67" t="str">
        <f>IF(AND(Gruppenphase!G23&lt;&gt;"",Gruppenphase!H23&lt;&gt;""),Gruppenphase!F23,"")</f>
        <v/>
      </c>
      <c r="D27" s="66" t="str">
        <f>IF(AND(Gruppenphase!G23&lt;&gt;"",Gruppenphase!H23&lt;&gt;""),Gruppenphase!G23,"")</f>
        <v/>
      </c>
      <c r="E27" s="66" t="str">
        <f>IF(AND(Gruppenphase!G23&lt;&gt;"",Gruppenphase!H23&lt;&gt;""),Gruppenphase!H23,"")</f>
        <v/>
      </c>
    </row>
    <row r="28" spans="1:5" ht="21" customHeight="1" x14ac:dyDescent="0.4">
      <c r="A28">
        <v>27</v>
      </c>
      <c r="B28" s="67" t="str">
        <f>IF(AND(Gruppenphase!G24&lt;&gt;"",Gruppenphase!H24&lt;&gt;""),Gruppenphase!E24,"")</f>
        <v/>
      </c>
      <c r="C28" s="67" t="str">
        <f>IF(AND(Gruppenphase!G24&lt;&gt;"",Gruppenphase!H24&lt;&gt;""),Gruppenphase!F24,"")</f>
        <v/>
      </c>
      <c r="D28" s="66" t="str">
        <f>IF(AND(Gruppenphase!G24&lt;&gt;"",Gruppenphase!H24&lt;&gt;""),Gruppenphase!G24,"")</f>
        <v/>
      </c>
      <c r="E28" s="66" t="str">
        <f>IF(AND(Gruppenphase!G24&lt;&gt;"",Gruppenphase!H24&lt;&gt;""),Gruppenphase!H24,"")</f>
        <v/>
      </c>
    </row>
    <row r="29" spans="1:5" ht="21" customHeight="1" x14ac:dyDescent="0.4">
      <c r="A29">
        <v>28</v>
      </c>
      <c r="B29" s="67" t="str">
        <f>IF(AND(Gruppenphase!G25&lt;&gt;"",Gruppenphase!H25&lt;&gt;""),Gruppenphase!E25,"")</f>
        <v/>
      </c>
      <c r="C29" s="67" t="str">
        <f>IF(AND(Gruppenphase!G25&lt;&gt;"",Gruppenphase!H25&lt;&gt;""),Gruppenphase!F25,"")</f>
        <v/>
      </c>
      <c r="D29" s="66" t="str">
        <f>IF(AND(Gruppenphase!G25&lt;&gt;"",Gruppenphase!H25&lt;&gt;""),Gruppenphase!G25,"")</f>
        <v/>
      </c>
      <c r="E29" s="66" t="str">
        <f>IF(AND(Gruppenphase!G25&lt;&gt;"",Gruppenphase!H25&lt;&gt;""),Gruppenphase!H25,"")</f>
        <v/>
      </c>
    </row>
    <row r="30" spans="1:5" ht="21" customHeight="1" x14ac:dyDescent="0.4">
      <c r="A30">
        <v>29</v>
      </c>
      <c r="B30" s="67" t="str">
        <f>IF(AND(Gruppenphase!G26&lt;&gt;"",Gruppenphase!H26&lt;&gt;""),Gruppenphase!E26,"")</f>
        <v/>
      </c>
      <c r="C30" s="67" t="str">
        <f>IF(AND(Gruppenphase!G26&lt;&gt;"",Gruppenphase!H26&lt;&gt;""),Gruppenphase!F26,"")</f>
        <v/>
      </c>
      <c r="D30" s="66" t="str">
        <f>IF(AND(Gruppenphase!G26&lt;&gt;"",Gruppenphase!H26&lt;&gt;""),Gruppenphase!G26,"")</f>
        <v/>
      </c>
      <c r="E30" s="66" t="str">
        <f>IF(AND(Gruppenphase!G26&lt;&gt;"",Gruppenphase!H26&lt;&gt;""),Gruppenphase!H26,"")</f>
        <v/>
      </c>
    </row>
    <row r="31" spans="1:5" ht="21" customHeight="1" x14ac:dyDescent="0.4">
      <c r="A31">
        <v>30</v>
      </c>
      <c r="B31" s="67" t="str">
        <f>IF(AND(Gruppenphase!G27&lt;&gt;"",Gruppenphase!H27&lt;&gt;""),Gruppenphase!E27,"")</f>
        <v/>
      </c>
      <c r="C31" s="67" t="str">
        <f>IF(AND(Gruppenphase!G27&lt;&gt;"",Gruppenphase!H27&lt;&gt;""),Gruppenphase!F27,"")</f>
        <v/>
      </c>
      <c r="D31" s="66" t="str">
        <f>IF(AND(Gruppenphase!G27&lt;&gt;"",Gruppenphase!H27&lt;&gt;""),Gruppenphase!G27,"")</f>
        <v/>
      </c>
      <c r="E31" s="66" t="str">
        <f>IF(AND(Gruppenphase!G27&lt;&gt;"",Gruppenphase!H27&lt;&gt;""),Gruppenphase!H27,"")</f>
        <v/>
      </c>
    </row>
    <row r="32" spans="1:5" ht="21" customHeight="1" x14ac:dyDescent="0.4">
      <c r="A32">
        <v>31</v>
      </c>
      <c r="B32" s="67" t="str">
        <f>IF(AND(Gruppenphase!M18&lt;&gt;"",Gruppenphase!N18&lt;&gt;""),Gruppenphase!K18,"")</f>
        <v/>
      </c>
      <c r="C32" s="67" t="str">
        <f>IF(AND(Gruppenphase!M18&lt;&gt;"",Gruppenphase!N18&lt;&gt;""),Gruppenphase!L18,"")</f>
        <v/>
      </c>
      <c r="D32" s="66" t="str">
        <f>IF(AND(Gruppenphase!M18&lt;&gt;"",Gruppenphase!N18&lt;&gt;""),Gruppenphase!M18,"")</f>
        <v/>
      </c>
      <c r="E32" s="66" t="str">
        <f>IF(AND(Gruppenphase!M18&lt;&gt;"",Gruppenphase!N18&lt;&gt;""),Gruppenphase!N18,"")</f>
        <v/>
      </c>
    </row>
    <row r="33" spans="1:5" ht="21" customHeight="1" x14ac:dyDescent="0.4">
      <c r="A33">
        <v>32</v>
      </c>
      <c r="B33" s="67" t="str">
        <f>IF(AND(Gruppenphase!M19&lt;&gt;"",Gruppenphase!N19&lt;&gt;""),Gruppenphase!K19,"")</f>
        <v/>
      </c>
      <c r="C33" s="67" t="str">
        <f>IF(AND(Gruppenphase!M19&lt;&gt;"",Gruppenphase!N19&lt;&gt;""),Gruppenphase!L19,"")</f>
        <v/>
      </c>
      <c r="D33" s="66" t="str">
        <f>IF(AND(Gruppenphase!M19&lt;&gt;"",Gruppenphase!N19&lt;&gt;""),Gruppenphase!M19,"")</f>
        <v/>
      </c>
      <c r="E33" s="66" t="str">
        <f>IF(AND(Gruppenphase!M19&lt;&gt;"",Gruppenphase!N19&lt;&gt;""),Gruppenphase!N19,"")</f>
        <v/>
      </c>
    </row>
    <row r="34" spans="1:5" ht="21" customHeight="1" x14ac:dyDescent="0.4">
      <c r="A34">
        <v>33</v>
      </c>
      <c r="B34" s="67" t="str">
        <f>IF(AND(Gruppenphase!M20&lt;&gt;"",Gruppenphase!N20&lt;&gt;""),Gruppenphase!K20,"")</f>
        <v/>
      </c>
      <c r="C34" s="67" t="str">
        <f>IF(AND(Gruppenphase!M20&lt;&gt;"",Gruppenphase!N20&lt;&gt;""),Gruppenphase!L20,"")</f>
        <v/>
      </c>
      <c r="D34" s="66" t="str">
        <f>IF(AND(Gruppenphase!M20&lt;&gt;"",Gruppenphase!N20&lt;&gt;""),Gruppenphase!M20,"")</f>
        <v/>
      </c>
      <c r="E34" s="66" t="str">
        <f>IF(AND(Gruppenphase!M20&lt;&gt;"",Gruppenphase!N20&lt;&gt;""),Gruppenphase!N20,"")</f>
        <v/>
      </c>
    </row>
    <row r="35" spans="1:5" ht="21" customHeight="1" x14ac:dyDescent="0.4">
      <c r="A35">
        <v>34</v>
      </c>
      <c r="B35" s="67" t="str">
        <f>IF(AND(Gruppenphase!M21&lt;&gt;"",Gruppenphase!N21&lt;&gt;""),Gruppenphase!K21,"")</f>
        <v/>
      </c>
      <c r="C35" s="67" t="str">
        <f>IF(AND(Gruppenphase!M21&lt;&gt;"",Gruppenphase!N21&lt;&gt;""),Gruppenphase!L21,"")</f>
        <v/>
      </c>
      <c r="D35" s="66" t="str">
        <f>IF(AND(Gruppenphase!M21&lt;&gt;"",Gruppenphase!N21&lt;&gt;""),Gruppenphase!M21,"")</f>
        <v/>
      </c>
      <c r="E35" s="66" t="str">
        <f>IF(AND(Gruppenphase!M21&lt;&gt;"",Gruppenphase!N21&lt;&gt;""),Gruppenphase!N21,"")</f>
        <v/>
      </c>
    </row>
    <row r="36" spans="1:5" ht="21" customHeight="1" x14ac:dyDescent="0.4">
      <c r="A36">
        <v>35</v>
      </c>
      <c r="B36" s="67" t="str">
        <f>IF(AND(Gruppenphase!M22&lt;&gt;"",Gruppenphase!N22&lt;&gt;""),Gruppenphase!K22,"")</f>
        <v/>
      </c>
      <c r="C36" s="67" t="str">
        <f>IF(AND(Gruppenphase!M22&lt;&gt;"",Gruppenphase!N22&lt;&gt;""),Gruppenphase!L22,"")</f>
        <v/>
      </c>
      <c r="D36" s="66" t="str">
        <f>IF(AND(Gruppenphase!M22&lt;&gt;"",Gruppenphase!N22&lt;&gt;""),Gruppenphase!M22,"")</f>
        <v/>
      </c>
      <c r="E36" s="66" t="str">
        <f>IF(AND(Gruppenphase!M22&lt;&gt;"",Gruppenphase!N22&lt;&gt;""),Gruppenphase!N22,"")</f>
        <v/>
      </c>
    </row>
    <row r="37" spans="1:5" ht="21" customHeight="1" x14ac:dyDescent="0.4">
      <c r="A37">
        <v>36</v>
      </c>
      <c r="B37" s="67" t="str">
        <f>IF(AND(Gruppenphase!M23&lt;&gt;"",Gruppenphase!N23&lt;&gt;""),Gruppenphase!K23,"")</f>
        <v/>
      </c>
      <c r="C37" s="67" t="str">
        <f>IF(AND(Gruppenphase!M23&lt;&gt;"",Gruppenphase!N23&lt;&gt;""),Gruppenphase!L23,"")</f>
        <v/>
      </c>
      <c r="D37" s="66" t="str">
        <f>IF(AND(Gruppenphase!M23&lt;&gt;"",Gruppenphase!N23&lt;&gt;""),Gruppenphase!M23,"")</f>
        <v/>
      </c>
      <c r="E37" s="66" t="str">
        <f>IF(AND(Gruppenphase!M23&lt;&gt;"",Gruppenphase!N23&lt;&gt;""),Gruppenphase!N23,"")</f>
        <v/>
      </c>
    </row>
    <row r="38" spans="1:5" ht="21" customHeight="1" x14ac:dyDescent="0.4">
      <c r="A38">
        <v>37</v>
      </c>
      <c r="B38" s="67" t="str">
        <f>IF(AND(Gruppenphase!M24&lt;&gt;"",Gruppenphase!N24&lt;&gt;""),Gruppenphase!K24,"")</f>
        <v/>
      </c>
      <c r="C38" s="67" t="str">
        <f>IF(AND(Gruppenphase!M24&lt;&gt;"",Gruppenphase!N24&lt;&gt;""),Gruppenphase!L24,"")</f>
        <v/>
      </c>
      <c r="D38" s="66" t="str">
        <f>IF(AND(Gruppenphase!M24&lt;&gt;"",Gruppenphase!N24&lt;&gt;""),Gruppenphase!M24,"")</f>
        <v/>
      </c>
      <c r="E38" s="66" t="str">
        <f>IF(AND(Gruppenphase!M24&lt;&gt;"",Gruppenphase!N24&lt;&gt;""),Gruppenphase!N24,"")</f>
        <v/>
      </c>
    </row>
    <row r="39" spans="1:5" ht="21" customHeight="1" x14ac:dyDescent="0.4">
      <c r="A39">
        <v>38</v>
      </c>
      <c r="B39" s="67" t="str">
        <f>IF(AND(Gruppenphase!M25&lt;&gt;"",Gruppenphase!N25&lt;&gt;""),Gruppenphase!K25,"")</f>
        <v/>
      </c>
      <c r="C39" s="67" t="str">
        <f>IF(AND(Gruppenphase!M25&lt;&gt;"",Gruppenphase!N25&lt;&gt;""),Gruppenphase!L25,"")</f>
        <v/>
      </c>
      <c r="D39" s="66" t="str">
        <f>IF(AND(Gruppenphase!M25&lt;&gt;"",Gruppenphase!N25&lt;&gt;""),Gruppenphase!M25,"")</f>
        <v/>
      </c>
      <c r="E39" s="66" t="str">
        <f>IF(AND(Gruppenphase!M25&lt;&gt;"",Gruppenphase!N25&lt;&gt;""),Gruppenphase!N25,"")</f>
        <v/>
      </c>
    </row>
    <row r="40" spans="1:5" ht="21" customHeight="1" x14ac:dyDescent="0.4">
      <c r="A40">
        <v>39</v>
      </c>
      <c r="B40" s="67" t="str">
        <f>IF(AND(Gruppenphase!M26&lt;&gt;"",Gruppenphase!N26&lt;&gt;""),Gruppenphase!K26,"")</f>
        <v/>
      </c>
      <c r="C40" s="67" t="str">
        <f>IF(AND(Gruppenphase!M26&lt;&gt;"",Gruppenphase!N26&lt;&gt;""),Gruppenphase!L26,"")</f>
        <v/>
      </c>
      <c r="D40" s="66" t="str">
        <f>IF(AND(Gruppenphase!M26&lt;&gt;"",Gruppenphase!N26&lt;&gt;""),Gruppenphase!M26,"")</f>
        <v/>
      </c>
      <c r="E40" s="66" t="str">
        <f>IF(AND(Gruppenphase!M26&lt;&gt;"",Gruppenphase!N26&lt;&gt;""),Gruppenphase!N26,"")</f>
        <v/>
      </c>
    </row>
    <row r="41" spans="1:5" ht="21" customHeight="1" x14ac:dyDescent="0.4">
      <c r="A41">
        <v>40</v>
      </c>
      <c r="B41" s="67" t="str">
        <f>IF(AND(Gruppenphase!M27&lt;&gt;"",Gruppenphase!N27&lt;&gt;""),Gruppenphase!K27,"")</f>
        <v/>
      </c>
      <c r="C41" s="67" t="str">
        <f>IF(AND(Gruppenphase!M27&lt;&gt;"",Gruppenphase!N27&lt;&gt;""),Gruppenphase!L27,"")</f>
        <v/>
      </c>
      <c r="D41" s="66" t="str">
        <f>IF(AND(Gruppenphase!M27&lt;&gt;"",Gruppenphase!N27&lt;&gt;""),Gruppenphase!M27,"")</f>
        <v/>
      </c>
      <c r="E41" s="66" t="str">
        <f>IF(AND(Gruppenphase!M27&lt;&gt;"",Gruppenphase!N27&lt;&gt;""),Gruppenphase!N27,"")</f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Tabellen</vt:lpstr>
      <vt:lpstr>Gruppenphase</vt:lpstr>
      <vt:lpstr>Kreuzspiele</vt:lpstr>
      <vt:lpstr>Spiele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Rigler Marvin (s4bhme)</cp:lastModifiedBy>
  <cp:revision>0</cp:revision>
  <dcterms:created xsi:type="dcterms:W3CDTF">2026-06-18T13:01:06Z</dcterms:created>
  <dcterms:modified xsi:type="dcterms:W3CDTF">2026-06-23T06:22:00Z</dcterms:modified>
  <dc:language>en-US</dc:language>
</cp:coreProperties>
</file>