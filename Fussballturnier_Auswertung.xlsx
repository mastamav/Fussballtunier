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em\Downloads\"/>
    </mc:Choice>
  </mc:AlternateContent>
  <xr:revisionPtr revIDLastSave="0" documentId="13_ncr:1_{C4449C6A-7762-48E2-A93F-DC86C8D38B46}" xr6:coauthVersionLast="47" xr6:coauthVersionMax="47" xr10:uidLastSave="{00000000-0000-0000-0000-000000000000}"/>
  <bookViews>
    <workbookView xWindow="-108" yWindow="-108" windowWidth="23256" windowHeight="13176" tabRatio="500" activeTab="3" xr2:uid="{00000000-000D-0000-FFFF-FFFF00000000}"/>
  </bookViews>
  <sheets>
    <sheet name="Gruppenphase" sheetId="2" r:id="rId1"/>
    <sheet name="Spiele" sheetId="4" r:id="rId2"/>
    <sheet name="Platzierung" sheetId="1" r:id="rId3"/>
    <sheet name="Kreuzspiele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1" i="4" l="1"/>
  <c r="K41" i="4"/>
  <c r="M41" i="4" s="1"/>
  <c r="J41" i="4"/>
  <c r="I41" i="4"/>
  <c r="M40" i="4"/>
  <c r="L40" i="4"/>
  <c r="K40" i="4"/>
  <c r="J40" i="4"/>
  <c r="I40" i="4"/>
  <c r="L39" i="4"/>
  <c r="K39" i="4"/>
  <c r="M39" i="4" s="1"/>
  <c r="J39" i="4"/>
  <c r="I39" i="4"/>
  <c r="L38" i="4"/>
  <c r="M38" i="4" s="1"/>
  <c r="K38" i="4"/>
  <c r="J38" i="4"/>
  <c r="I38" i="4"/>
  <c r="L37" i="4"/>
  <c r="K37" i="4"/>
  <c r="M37" i="4" s="1"/>
  <c r="J37" i="4"/>
  <c r="I37" i="4"/>
  <c r="M36" i="4"/>
  <c r="L36" i="4"/>
  <c r="K36" i="4"/>
  <c r="J36" i="4"/>
  <c r="I36" i="4"/>
  <c r="L35" i="4"/>
  <c r="K35" i="4"/>
  <c r="M35" i="4" s="1"/>
  <c r="J35" i="4"/>
  <c r="I35" i="4"/>
  <c r="L34" i="4"/>
  <c r="M34" i="4" s="1"/>
  <c r="K34" i="4"/>
  <c r="J34" i="4"/>
  <c r="I34" i="4"/>
  <c r="L33" i="4"/>
  <c r="K33" i="4"/>
  <c r="J33" i="4"/>
  <c r="I33" i="4"/>
  <c r="L32" i="4"/>
  <c r="K32" i="4"/>
  <c r="J32" i="4"/>
  <c r="I32" i="4"/>
  <c r="L31" i="4"/>
  <c r="K31" i="4"/>
  <c r="M31" i="4" s="1"/>
  <c r="J31" i="4"/>
  <c r="I31" i="4"/>
  <c r="L30" i="4"/>
  <c r="M30" i="4" s="1"/>
  <c r="K30" i="4"/>
  <c r="J30" i="4"/>
  <c r="I30" i="4"/>
  <c r="L29" i="4"/>
  <c r="K29" i="4"/>
  <c r="M29" i="4" s="1"/>
  <c r="J29" i="4"/>
  <c r="I29" i="4"/>
  <c r="M28" i="4"/>
  <c r="L28" i="4"/>
  <c r="K28" i="4"/>
  <c r="J28" i="4"/>
  <c r="I28" i="4"/>
  <c r="L27" i="4"/>
  <c r="K27" i="4"/>
  <c r="M27" i="4" s="1"/>
  <c r="J27" i="4"/>
  <c r="I27" i="4"/>
  <c r="L26" i="4"/>
  <c r="M26" i="4" s="1"/>
  <c r="K26" i="4"/>
  <c r="J26" i="4"/>
  <c r="I26" i="4"/>
  <c r="L25" i="4"/>
  <c r="K25" i="4"/>
  <c r="M25" i="4" s="1"/>
  <c r="J25" i="4"/>
  <c r="I25" i="4"/>
  <c r="L24" i="4"/>
  <c r="K24" i="4"/>
  <c r="J24" i="4"/>
  <c r="I24" i="4"/>
  <c r="L23" i="4"/>
  <c r="K23" i="4"/>
  <c r="J23" i="4"/>
  <c r="I23" i="4"/>
  <c r="L22" i="4"/>
  <c r="K22" i="4"/>
  <c r="J22" i="4"/>
  <c r="I22" i="4"/>
  <c r="L21" i="4"/>
  <c r="K21" i="4"/>
  <c r="M21" i="4" s="1"/>
  <c r="J21" i="4"/>
  <c r="I21" i="4"/>
  <c r="M20" i="4"/>
  <c r="L20" i="4"/>
  <c r="K20" i="4"/>
  <c r="J20" i="4"/>
  <c r="I20" i="4"/>
  <c r="L19" i="4"/>
  <c r="K19" i="4"/>
  <c r="M19" i="4" s="1"/>
  <c r="J19" i="4"/>
  <c r="I19" i="4"/>
  <c r="L18" i="4"/>
  <c r="M18" i="4" s="1"/>
  <c r="K18" i="4"/>
  <c r="J18" i="4"/>
  <c r="I18" i="4"/>
  <c r="L17" i="4"/>
  <c r="K17" i="4"/>
  <c r="M17" i="4" s="1"/>
  <c r="J17" i="4"/>
  <c r="I17" i="4"/>
  <c r="M16" i="4"/>
  <c r="L16" i="4"/>
  <c r="K16" i="4"/>
  <c r="J16" i="4"/>
  <c r="I16" i="4"/>
  <c r="L15" i="4"/>
  <c r="K15" i="4"/>
  <c r="M15" i="4" s="1"/>
  <c r="J15" i="4"/>
  <c r="I15" i="4"/>
  <c r="L14" i="4"/>
  <c r="M14" i="4" s="1"/>
  <c r="K14" i="4"/>
  <c r="J14" i="4"/>
  <c r="I14" i="4"/>
  <c r="L13" i="4"/>
  <c r="K13" i="4"/>
  <c r="J13" i="4"/>
  <c r="I13" i="4"/>
  <c r="L12" i="4"/>
  <c r="K12" i="4"/>
  <c r="J12" i="4"/>
  <c r="I12" i="4"/>
  <c r="L11" i="4"/>
  <c r="K11" i="4"/>
  <c r="M11" i="4" s="1"/>
  <c r="J11" i="4"/>
  <c r="I11" i="4"/>
  <c r="L10" i="4"/>
  <c r="K10" i="4"/>
  <c r="J10" i="4"/>
  <c r="I10" i="4"/>
  <c r="L9" i="4"/>
  <c r="K9" i="4"/>
  <c r="M9" i="4" s="1"/>
  <c r="J9" i="4"/>
  <c r="I9" i="4"/>
  <c r="L8" i="4"/>
  <c r="K8" i="4"/>
  <c r="M8" i="4" s="1"/>
  <c r="J8" i="4"/>
  <c r="I8" i="4"/>
  <c r="M7" i="4"/>
  <c r="L7" i="4"/>
  <c r="K7" i="4"/>
  <c r="J7" i="4"/>
  <c r="I7" i="4"/>
  <c r="L6" i="4"/>
  <c r="K6" i="4"/>
  <c r="J6" i="4"/>
  <c r="I6" i="4"/>
  <c r="L5" i="4"/>
  <c r="K5" i="4"/>
  <c r="J5" i="4"/>
  <c r="I5" i="4"/>
  <c r="L4" i="4"/>
  <c r="K4" i="4"/>
  <c r="J4" i="4"/>
  <c r="I4" i="4"/>
  <c r="L3" i="4"/>
  <c r="K3" i="4"/>
  <c r="J3" i="4"/>
  <c r="I3" i="4"/>
  <c r="L2" i="4"/>
  <c r="K2" i="4"/>
  <c r="J2" i="4"/>
  <c r="I2" i="4"/>
  <c r="M33" i="4" l="1"/>
  <c r="M13" i="4"/>
  <c r="M3" i="4"/>
  <c r="M32" i="4"/>
  <c r="M23" i="4"/>
  <c r="M24" i="4"/>
  <c r="M22" i="4"/>
  <c r="M12" i="4"/>
  <c r="M5" i="4"/>
  <c r="M4" i="4"/>
  <c r="M2" i="4"/>
  <c r="M6" i="4"/>
  <c r="M10" i="4"/>
  <c r="B30" i="4" l="1"/>
  <c r="A30" i="4" s="1"/>
  <c r="C17" i="4"/>
  <c r="C38" i="4"/>
  <c r="C15" i="4"/>
  <c r="D35" i="4"/>
  <c r="C6" i="4"/>
  <c r="E30" i="4"/>
  <c r="D4" i="4"/>
  <c r="E9" i="4"/>
  <c r="C31" i="4"/>
  <c r="B7" i="4"/>
  <c r="A7" i="4" s="1"/>
  <c r="C10" i="4"/>
  <c r="D26" i="4"/>
  <c r="D12" i="4"/>
  <c r="D9" i="4"/>
  <c r="E3" i="4"/>
  <c r="B40" i="4"/>
  <c r="A40" i="4" s="1"/>
  <c r="E36" i="4"/>
  <c r="E33" i="4"/>
  <c r="C16" i="4"/>
  <c r="B32" i="4"/>
  <c r="A32" i="4" s="1"/>
  <c r="C33" i="4"/>
  <c r="B26" i="4"/>
  <c r="A26" i="4" s="1"/>
  <c r="C34" i="4"/>
  <c r="E10" i="4"/>
  <c r="C20" i="4"/>
  <c r="B33" i="4"/>
  <c r="A33" i="4" s="1"/>
  <c r="E40" i="4"/>
  <c r="C24" i="4"/>
  <c r="C29" i="4"/>
  <c r="E28" i="4"/>
  <c r="D22" i="4"/>
  <c r="C21" i="4"/>
  <c r="C9" i="4"/>
  <c r="B23" i="4"/>
  <c r="A23" i="4" s="1"/>
  <c r="B9" i="4"/>
  <c r="A9" i="4" s="1"/>
  <c r="B2" i="4"/>
  <c r="A2" i="4" s="1"/>
  <c r="C39" i="4"/>
  <c r="D3" i="4"/>
  <c r="E17" i="4"/>
  <c r="B31" i="4"/>
  <c r="A31" i="4" s="1"/>
  <c r="B13" i="4"/>
  <c r="A13" i="4" s="1"/>
  <c r="D25" i="4"/>
  <c r="C7" i="4"/>
  <c r="D32" i="4"/>
  <c r="E12" i="4"/>
  <c r="E20" i="4"/>
  <c r="D29" i="4"/>
  <c r="E37" i="4"/>
  <c r="C11" i="4"/>
  <c r="E23" i="4"/>
  <c r="D36" i="4"/>
  <c r="B4" i="4"/>
  <c r="A4" i="4" s="1"/>
  <c r="B10" i="4"/>
  <c r="A10" i="4" s="1"/>
  <c r="C18" i="4"/>
  <c r="B35" i="4"/>
  <c r="A35" i="4" s="1"/>
  <c r="C4" i="4"/>
  <c r="D16" i="4"/>
  <c r="B24" i="4"/>
  <c r="A24" i="4" s="1"/>
  <c r="C5" i="4"/>
  <c r="B34" i="4"/>
  <c r="A34" i="4" s="1"/>
  <c r="B15" i="4"/>
  <c r="A15" i="4" s="1"/>
  <c r="C23" i="4"/>
  <c r="C32" i="4"/>
  <c r="E16" i="4"/>
  <c r="B20" i="4"/>
  <c r="A20" i="4" s="1"/>
  <c r="B14" i="4"/>
  <c r="A14" i="4" s="1"/>
  <c r="D41" i="4"/>
  <c r="E25" i="4"/>
  <c r="D18" i="4"/>
  <c r="B39" i="4"/>
  <c r="A39" i="4" s="1"/>
  <c r="E26" i="4"/>
  <c r="C8" i="4"/>
  <c r="E35" i="4"/>
  <c r="D28" i="4"/>
  <c r="C13" i="4"/>
  <c r="E4" i="4"/>
  <c r="D2" i="4"/>
  <c r="D33" i="4"/>
  <c r="E41" i="4"/>
  <c r="E18" i="4"/>
  <c r="E27" i="4"/>
  <c r="D19" i="4"/>
  <c r="E31" i="4"/>
  <c r="D13" i="4"/>
  <c r="E21" i="4"/>
  <c r="D38" i="4"/>
  <c r="E7" i="4"/>
  <c r="B25" i="4"/>
  <c r="A25" i="4" s="1"/>
  <c r="B8" i="4"/>
  <c r="A8" i="4" s="1"/>
  <c r="D7" i="4"/>
  <c r="D17" i="4"/>
  <c r="E5" i="4"/>
  <c r="C26" i="4"/>
  <c r="B19" i="4"/>
  <c r="A19" i="4" s="1"/>
  <c r="E2" i="4"/>
  <c r="C27" i="4"/>
  <c r="E11" i="4"/>
  <c r="C40" i="4"/>
  <c r="B29" i="4"/>
  <c r="A29" i="4" s="1"/>
  <c r="E24" i="4"/>
  <c r="B28" i="4"/>
  <c r="A28" i="4" s="1"/>
  <c r="C36" i="4"/>
  <c r="B17" i="4"/>
  <c r="A17" i="4" s="1"/>
  <c r="B41" i="4"/>
  <c r="A41" i="4" s="1"/>
  <c r="D11" i="4"/>
  <c r="B3" i="4"/>
  <c r="A3" i="4" s="1"/>
  <c r="D6" i="4"/>
  <c r="D23" i="4"/>
  <c r="D15" i="4"/>
  <c r="B18" i="4"/>
  <c r="A18" i="4" s="1"/>
  <c r="C2" i="4"/>
  <c r="C22" i="4"/>
  <c r="D10" i="4"/>
  <c r="D34" i="4"/>
  <c r="E14" i="4"/>
  <c r="E34" i="4"/>
  <c r="E19" i="4"/>
  <c r="E39" i="4"/>
  <c r="D20" i="4"/>
  <c r="E32" i="4"/>
  <c r="E8" i="4"/>
  <c r="C41" i="4"/>
  <c r="D21" i="4"/>
  <c r="E13" i="4"/>
  <c r="B11" i="4"/>
  <c r="A11" i="4" s="1"/>
  <c r="C3" i="4"/>
  <c r="C19" i="4"/>
  <c r="C35" i="4"/>
  <c r="C12" i="4"/>
  <c r="C28" i="4"/>
  <c r="B5" i="4"/>
  <c r="A5" i="4" s="1"/>
  <c r="B21" i="4"/>
  <c r="A21" i="4" s="1"/>
  <c r="B37" i="4"/>
  <c r="A37" i="4" s="1"/>
  <c r="C37" i="4"/>
  <c r="B12" i="4"/>
  <c r="A12" i="4" s="1"/>
  <c r="D31" i="4"/>
  <c r="D5" i="4"/>
  <c r="D37" i="4"/>
  <c r="E29" i="4"/>
  <c r="B27" i="4"/>
  <c r="A27" i="4" s="1"/>
  <c r="D39" i="4"/>
  <c r="B36" i="4"/>
  <c r="A36" i="4" s="1"/>
  <c r="B6" i="4"/>
  <c r="A6" i="4" s="1"/>
  <c r="B22" i="4"/>
  <c r="A22" i="4" s="1"/>
  <c r="B38" i="4"/>
  <c r="A38" i="4" s="1"/>
  <c r="C14" i="4"/>
  <c r="C30" i="4"/>
  <c r="D14" i="4"/>
  <c r="D30" i="4"/>
  <c r="E6" i="4"/>
  <c r="E22" i="4"/>
  <c r="E38" i="4"/>
  <c r="E15" i="4"/>
  <c r="D8" i="4"/>
  <c r="D24" i="4"/>
  <c r="D40" i="4"/>
  <c r="D27" i="4"/>
  <c r="B16" i="4"/>
  <c r="A16" i="4" s="1"/>
  <c r="C25" i="4"/>
  <c r="F11" i="1" l="1"/>
  <c r="C20" i="1"/>
  <c r="F6" i="1"/>
  <c r="G9" i="1"/>
  <c r="D8" i="1"/>
  <c r="B9" i="1"/>
  <c r="F3" i="1"/>
  <c r="G21" i="1"/>
  <c r="C2" i="1"/>
  <c r="B16" i="1"/>
  <c r="G18" i="1"/>
  <c r="F5" i="1"/>
  <c r="B15" i="1"/>
  <c r="C17" i="1"/>
  <c r="C19" i="1"/>
  <c r="F17" i="1"/>
  <c r="F18" i="1"/>
  <c r="G14" i="1"/>
  <c r="D18" i="1"/>
  <c r="C21" i="1"/>
  <c r="D21" i="1"/>
  <c r="B10" i="1"/>
  <c r="B19" i="1"/>
  <c r="B13" i="1"/>
  <c r="C18" i="1"/>
  <c r="C16" i="1"/>
  <c r="C14" i="1"/>
  <c r="D10" i="1"/>
  <c r="F21" i="1"/>
  <c r="D11" i="1"/>
  <c r="D4" i="1"/>
  <c r="F15" i="1"/>
  <c r="C9" i="1"/>
  <c r="D20" i="1"/>
  <c r="I20" i="1" s="1"/>
  <c r="G6" i="1"/>
  <c r="H6" i="1" s="1"/>
  <c r="D6" i="1"/>
  <c r="B21" i="1"/>
  <c r="M21" i="1" s="1"/>
  <c r="C6" i="1"/>
  <c r="D12" i="1"/>
  <c r="D9" i="1"/>
  <c r="F9" i="1"/>
  <c r="G7" i="1"/>
  <c r="C4" i="1"/>
  <c r="F12" i="1"/>
  <c r="B18" i="1"/>
  <c r="C7" i="1"/>
  <c r="G5" i="1"/>
  <c r="F8" i="1"/>
  <c r="B14" i="1"/>
  <c r="G8" i="1"/>
  <c r="G20" i="1"/>
  <c r="B11" i="1"/>
  <c r="J11" i="1" s="1"/>
  <c r="F2" i="1"/>
  <c r="B12" i="1"/>
  <c r="B5" i="1"/>
  <c r="D16" i="1"/>
  <c r="G11" i="1"/>
  <c r="H11" i="1" s="1"/>
  <c r="C8" i="1"/>
  <c r="F4" i="1"/>
  <c r="D7" i="1"/>
  <c r="G19" i="1"/>
  <c r="D13" i="1"/>
  <c r="D5" i="1"/>
  <c r="D19" i="1"/>
  <c r="C5" i="1"/>
  <c r="F16" i="1"/>
  <c r="G17" i="1"/>
  <c r="G12" i="1"/>
  <c r="F10" i="1"/>
  <c r="B20" i="1"/>
  <c r="G2" i="1"/>
  <c r="G13" i="1"/>
  <c r="B2" i="1"/>
  <c r="C10" i="1"/>
  <c r="D17" i="1"/>
  <c r="C3" i="1"/>
  <c r="D2" i="1"/>
  <c r="F13" i="1"/>
  <c r="D3" i="1"/>
  <c r="F14" i="1"/>
  <c r="F7" i="1"/>
  <c r="B17" i="1"/>
  <c r="C13" i="1"/>
  <c r="G4" i="1"/>
  <c r="C11" i="1"/>
  <c r="B6" i="1"/>
  <c r="B7" i="1"/>
  <c r="B8" i="1"/>
  <c r="G3" i="1"/>
  <c r="C15" i="1"/>
  <c r="C12" i="1"/>
  <c r="G16" i="1"/>
  <c r="F20" i="1"/>
  <c r="G10" i="1"/>
  <c r="B3" i="1"/>
  <c r="D14" i="1"/>
  <c r="B4" i="1"/>
  <c r="D15" i="1"/>
  <c r="F19" i="1"/>
  <c r="G15" i="1"/>
  <c r="H3" i="1" l="1"/>
  <c r="E19" i="1"/>
  <c r="E2" i="1"/>
  <c r="I19" i="1"/>
  <c r="I10" i="1"/>
  <c r="I3" i="1"/>
  <c r="H19" i="1"/>
  <c r="M19" i="1" s="1"/>
  <c r="I12" i="1"/>
  <c r="E13" i="1"/>
  <c r="I17" i="1"/>
  <c r="H17" i="1"/>
  <c r="H20" i="1"/>
  <c r="M20" i="1" s="1"/>
  <c r="I4" i="1"/>
  <c r="I14" i="1"/>
  <c r="I18" i="1"/>
  <c r="H18" i="1"/>
  <c r="H5" i="1"/>
  <c r="I8" i="1"/>
  <c r="H7" i="1"/>
  <c r="I16" i="1"/>
  <c r="E21" i="1"/>
  <c r="J21" i="1"/>
  <c r="I2" i="1"/>
  <c r="E5" i="1"/>
  <c r="H9" i="1"/>
  <c r="E9" i="1"/>
  <c r="E15" i="1"/>
  <c r="H12" i="1"/>
  <c r="E10" i="1"/>
  <c r="E16" i="1"/>
  <c r="E8" i="1"/>
  <c r="E17" i="1"/>
  <c r="I13" i="1"/>
  <c r="I5" i="1"/>
  <c r="I9" i="1"/>
  <c r="E14" i="1"/>
  <c r="H14" i="1"/>
  <c r="E6" i="1"/>
  <c r="H13" i="1"/>
  <c r="E12" i="1"/>
  <c r="E7" i="1"/>
  <c r="I15" i="1"/>
  <c r="I21" i="1"/>
  <c r="E11" i="1"/>
  <c r="H21" i="1"/>
  <c r="M11" i="1"/>
  <c r="H4" i="1"/>
  <c r="H16" i="1"/>
  <c r="E18" i="1"/>
  <c r="E4" i="1"/>
  <c r="E20" i="1"/>
  <c r="H8" i="1"/>
  <c r="H15" i="1"/>
  <c r="E3" i="1"/>
  <c r="I7" i="1"/>
  <c r="I6" i="1"/>
  <c r="M6" i="1" s="1"/>
  <c r="I11" i="1"/>
  <c r="H10" i="1"/>
  <c r="H2" i="1"/>
  <c r="M14" i="1" l="1"/>
  <c r="M17" i="1"/>
  <c r="M18" i="1"/>
  <c r="J18" i="1" s="1"/>
  <c r="M3" i="1"/>
  <c r="M16" i="1"/>
  <c r="M15" i="1"/>
  <c r="M12" i="1"/>
  <c r="M13" i="1"/>
  <c r="J16" i="1" s="1"/>
  <c r="M7" i="1"/>
  <c r="M8" i="1"/>
  <c r="M10" i="1"/>
  <c r="M9" i="1"/>
  <c r="M5" i="1"/>
  <c r="M2" i="1"/>
  <c r="M4" i="1"/>
  <c r="J19" i="1" l="1"/>
  <c r="J20" i="1"/>
  <c r="J17" i="1"/>
  <c r="J13" i="1"/>
  <c r="J12" i="1"/>
  <c r="J15" i="1"/>
  <c r="J14" i="1"/>
  <c r="J2" i="1"/>
  <c r="J7" i="1"/>
  <c r="J9" i="1"/>
  <c r="J10" i="1"/>
  <c r="J8" i="1"/>
  <c r="J3" i="1"/>
  <c r="J4" i="1"/>
  <c r="J6" i="1"/>
  <c r="J5" i="1"/>
</calcChain>
</file>

<file path=xl/sharedStrings.xml><?xml version="1.0" encoding="utf-8"?>
<sst xmlns="http://schemas.openxmlformats.org/spreadsheetml/2006/main" count="187" uniqueCount="53">
  <si>
    <t>Team</t>
  </si>
  <si>
    <t>Spiele</t>
  </si>
  <si>
    <t>Siege</t>
  </si>
  <si>
    <t>Unentsch.</t>
  </si>
  <si>
    <t>Niederlagen</t>
  </si>
  <si>
    <t>Tore +</t>
  </si>
  <si>
    <t>Tore-</t>
  </si>
  <si>
    <t>Tordiff.</t>
  </si>
  <si>
    <t>Punkte</t>
  </si>
  <si>
    <t>Platzierung</t>
  </si>
  <si>
    <t>score (Hilfsspalte - nicht aendern)</t>
  </si>
  <si>
    <t>1BHME</t>
  </si>
  <si>
    <t>Gruppe A</t>
  </si>
  <si>
    <t>3AHITN</t>
  </si>
  <si>
    <t>3AHMBZ</t>
  </si>
  <si>
    <t>4AHMBZ</t>
  </si>
  <si>
    <t>3BHMBZ</t>
  </si>
  <si>
    <t>2AHEL</t>
  </si>
  <si>
    <t>Gruppe B</t>
  </si>
  <si>
    <t>1AHEL</t>
  </si>
  <si>
    <t>2AHMBZ</t>
  </si>
  <si>
    <t>3AHEL</t>
  </si>
  <si>
    <t>2AHME</t>
  </si>
  <si>
    <t>1AHMBZ</t>
  </si>
  <si>
    <t>Gruppe C</t>
  </si>
  <si>
    <t>2AHITN</t>
  </si>
  <si>
    <t>1AHITN</t>
  </si>
  <si>
    <t>2BHME</t>
  </si>
  <si>
    <t>1AHME</t>
  </si>
  <si>
    <t>2AFMBZ</t>
  </si>
  <si>
    <t>Gruppe D</t>
  </si>
  <si>
    <t>4BHME</t>
  </si>
  <si>
    <t>3BHME</t>
  </si>
  <si>
    <t>4AHEL</t>
  </si>
  <si>
    <t>4AHITN</t>
  </si>
  <si>
    <t>Spiele Gruppenphase</t>
  </si>
  <si>
    <t>Platz 1</t>
  </si>
  <si>
    <t>Zeit</t>
  </si>
  <si>
    <t>Tore</t>
  </si>
  <si>
    <t>Strandseite</t>
  </si>
  <si>
    <t>Laufbahnseite</t>
  </si>
  <si>
    <t>Platz 2</t>
  </si>
  <si>
    <t>Kreuzspiele</t>
  </si>
  <si>
    <t>Spiel</t>
  </si>
  <si>
    <t>Halbfinale</t>
  </si>
  <si>
    <t>Kleines Finale</t>
  </si>
  <si>
    <t>Finale</t>
  </si>
  <si>
    <t>Team A</t>
  </si>
  <si>
    <t>Team B</t>
  </si>
  <si>
    <t>Tore A</t>
  </si>
  <si>
    <t>Tore B</t>
  </si>
  <si>
    <t>idx</t>
  </si>
  <si>
    <t>sort (Quelle: Gruppenphase – nicht aendern)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</si>
</sst>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23" x14ac:knownFonts="1">
    <font>
      <sz val="11"/>
      <color theme="1"/>
      <name val="Calibri"/>
      <family val="2"/>
      <charset val="1"/>
    </font>
    <font>
      <b/>
      <sz val="16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i/>
      <sz val="28"/>
      <color theme="1"/>
      <name val="Calibri"/>
      <family val="2"/>
      <charset val="1"/>
    </font>
    <font>
      <b/>
      <i/>
      <sz val="36"/>
      <color theme="1"/>
      <name val="Calibri"/>
      <family val="2"/>
      <charset val="1"/>
    </font>
    <font>
      <b/>
      <i/>
      <sz val="18"/>
      <name val="Calibri"/>
      <family val="2"/>
      <charset val="1"/>
    </font>
    <font>
      <sz val="18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0"/>
      <color theme="1"/>
      <name val="Calibri"/>
      <family val="2"/>
      <charset val="1"/>
    </font>
    <font>
      <b/>
      <i/>
      <sz val="11"/>
      <name val="Calibri"/>
      <family val="2"/>
      <charset val="1"/>
    </font>
    <font>
      <b/>
      <i/>
      <sz val="18"/>
      <color theme="1"/>
      <name val="Calibri"/>
      <family val="2"/>
      <charset val="1"/>
    </font>
    <font>
      <i/>
      <sz val="18"/>
      <color theme="1"/>
      <name val="Calibri"/>
      <family val="2"/>
      <charset val="1"/>
    </font>
    <font>
      <b/>
      <i/>
      <sz val="20"/>
      <name val="Calibri"/>
      <family val="2"/>
      <charset val="1"/>
    </font>
    <font>
      <sz val="16"/>
      <color theme="1"/>
      <name val="Calibri"/>
      <family val="2"/>
      <charset val="1"/>
    </font>
    <font>
      <b/>
      <i/>
      <sz val="16"/>
      <name val="Calibri"/>
      <family val="2"/>
      <charset val="1"/>
    </font>
    <font>
      <b/>
      <i/>
      <sz val="14"/>
      <color theme="1"/>
      <name val="Calibri"/>
      <family val="2"/>
      <charset val="1"/>
    </font>
    <font>
      <b/>
      <sz val="14"/>
      <name val="Calibri"/>
      <family val="2"/>
      <charset val="1"/>
    </font>
    <font>
      <b/>
      <i/>
      <sz val="10"/>
      <name val="Calibri"/>
      <family val="2"/>
      <charset val="1"/>
    </font>
    <font>
      <b/>
      <i/>
      <sz val="2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rgb="FFFFCC99"/>
      </patternFill>
    </fill>
    <fill>
      <patternFill patternType="solid">
        <fgColor theme="9"/>
        <bgColor rgb="FFFF8080"/>
      </patternFill>
    </fill>
    <fill>
      <patternFill patternType="solid">
        <fgColor rgb="FF00B0F0"/>
        <bgColor rgb="FF33CCCC"/>
      </patternFill>
    </fill>
    <fill>
      <patternFill patternType="solid">
        <fgColor theme="5"/>
        <bgColor rgb="FF993366"/>
      </patternFill>
    </fill>
    <fill>
      <patternFill patternType="solid">
        <fgColor rgb="FFFF0000"/>
        <bgColor rgb="FF993300"/>
      </patternFill>
    </fill>
  </fills>
  <borders count="1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6" fillId="3" borderId="3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0" fillId="2" borderId="0" xfId="0" applyFill="1"/>
    <xf numFmtId="0" fontId="14" fillId="5" borderId="7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 vertical="center" textRotation="90"/>
    </xf>
    <xf numFmtId="0" fontId="8" fillId="5" borderId="10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 vertical="center" textRotation="90"/>
    </xf>
    <xf numFmtId="0" fontId="6" fillId="3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 textRotation="45"/>
    </xf>
    <xf numFmtId="0" fontId="4" fillId="0" borderId="5" xfId="0" applyFont="1" applyBorder="1" applyAlignment="1">
      <alignment horizontal="center" vertical="center" textRotation="45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0" xfId="0" applyFill="1"/>
    <xf numFmtId="0" fontId="0" fillId="2" borderId="4" xfId="0" applyFill="1" applyBorder="1"/>
    <xf numFmtId="0" fontId="8" fillId="5" borderId="7" xfId="0" applyFont="1" applyFill="1" applyBorder="1" applyAlignment="1">
      <alignment horizontal="center"/>
    </xf>
    <xf numFmtId="0" fontId="9" fillId="2" borderId="9" xfId="0" applyFont="1" applyFill="1" applyBorder="1"/>
    <xf numFmtId="164" fontId="10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2" fillId="2" borderId="0" xfId="0" applyFont="1" applyFill="1"/>
    <xf numFmtId="0" fontId="13" fillId="6" borderId="7" xfId="0" applyFont="1" applyFill="1" applyBorder="1" applyAlignment="1">
      <alignment horizontal="center"/>
    </xf>
    <xf numFmtId="0" fontId="11" fillId="2" borderId="0" xfId="0" applyFont="1" applyFill="1"/>
    <xf numFmtId="0" fontId="0" fillId="2" borderId="1" xfId="0" applyFill="1" applyBorder="1"/>
    <xf numFmtId="0" fontId="14" fillId="5" borderId="11" xfId="0" applyFont="1" applyFill="1" applyBorder="1" applyAlignment="1">
      <alignment horizontal="center"/>
    </xf>
    <xf numFmtId="0" fontId="15" fillId="2" borderId="4" xfId="0" applyFont="1" applyFill="1" applyBorder="1"/>
    <xf numFmtId="164" fontId="10" fillId="0" borderId="9" xfId="0" applyNumberFormat="1" applyFont="1" applyBorder="1" applyAlignment="1">
      <alignment horizontal="center"/>
    </xf>
    <xf numFmtId="0" fontId="0" fillId="2" borderId="13" xfId="0" applyFill="1" applyBorder="1"/>
    <xf numFmtId="164" fontId="10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7" fillId="2" borderId="4" xfId="0" applyFont="1" applyFill="1" applyBorder="1"/>
    <xf numFmtId="164" fontId="19" fillId="0" borderId="7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19" fillId="0" borderId="1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2" fillId="2" borderId="15" xfId="0" applyFont="1" applyFill="1" applyBorder="1"/>
    <xf numFmtId="0" fontId="21" fillId="6" borderId="7" xfId="0" applyFont="1" applyFill="1" applyBorder="1" applyAlignment="1">
      <alignment horizontal="center"/>
    </xf>
    <xf numFmtId="0" fontId="3" fillId="2" borderId="0" xfId="0" applyFont="1" applyFill="1"/>
    <xf numFmtId="0" fontId="12" fillId="2" borderId="9" xfId="0" applyFont="1" applyFill="1" applyBorder="1"/>
    <xf numFmtId="0" fontId="21" fillId="6" borderId="5" xfId="0" applyFont="1" applyFill="1" applyBorder="1" applyAlignment="1">
      <alignment horizontal="center"/>
    </xf>
    <xf numFmtId="0" fontId="3" fillId="2" borderId="6" xfId="0" applyFont="1" applyFill="1" applyBorder="1"/>
    <xf numFmtId="0" fontId="0" fillId="2" borderId="10" xfId="0" applyFill="1" applyBorder="1"/>
    <xf numFmtId="0" fontId="3" fillId="0" borderId="14" xfId="0" applyFont="1" applyBorder="1" applyAlignment="1">
      <alignment horizontal="center"/>
    </xf>
    <xf numFmtId="0" fontId="3" fillId="0" borderId="7" xfId="0" applyFont="1" applyBorder="1"/>
    <xf numFmtId="0" fontId="0" fillId="2" borderId="9" xfId="0" applyFill="1" applyBorder="1"/>
    <xf numFmtId="0" fontId="21" fillId="6" borderId="11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0" fillId="2" borderId="15" xfId="0" applyFill="1" applyBorder="1"/>
    <xf numFmtId="0" fontId="0" fillId="2" borderId="6" xfId="0" applyFill="1" applyBorder="1"/>
    <xf numFmtId="0" fontId="21" fillId="6" borderId="14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22" fillId="3" borderId="7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U29"/>
  <sheetViews>
    <sheetView topLeftCell="A4" zoomScale="80" zoomScaleNormal="80" workbookViewId="0">
      <selection activeCell="M8" sqref="M8"/>
    </sheetView>
  </sheetViews>
  <sheetFormatPr defaultColWidth="11.44140625" defaultRowHeight="14.4" x14ac:dyDescent="0.3"/>
  <cols>
    <col min="1" max="1" width="4.33203125" customWidth="1"/>
    <col min="5" max="5" width="15.5546875" customWidth="1"/>
    <col min="6" max="6" width="15.44140625" customWidth="1"/>
    <col min="7" max="8" width="13.6640625" customWidth="1"/>
    <col min="11" max="11" width="14.109375" customWidth="1"/>
    <col min="12" max="12" width="15.6640625" customWidth="1"/>
    <col min="13" max="13" width="13.44140625" customWidth="1"/>
  </cols>
  <sheetData>
    <row r="3" spans="2:21" ht="15.75" customHeight="1" x14ac:dyDescent="0.3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2:21" ht="37.5" customHeight="1" x14ac:dyDescent="0.7">
      <c r="B4" s="29"/>
      <c r="C4" s="30"/>
      <c r="D4" s="12" t="s">
        <v>35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29"/>
    </row>
    <row r="5" spans="2:21" ht="27" customHeight="1" x14ac:dyDescent="0.45">
      <c r="B5" s="29"/>
      <c r="C5" s="11" t="s">
        <v>36</v>
      </c>
      <c r="D5" s="31" t="s">
        <v>37</v>
      </c>
      <c r="E5" s="10" t="s">
        <v>12</v>
      </c>
      <c r="F5" s="10"/>
      <c r="G5" s="10" t="s">
        <v>38</v>
      </c>
      <c r="H5" s="10"/>
      <c r="I5" s="32"/>
      <c r="J5" s="31" t="s">
        <v>37</v>
      </c>
      <c r="K5" s="9" t="s">
        <v>18</v>
      </c>
      <c r="L5" s="9"/>
      <c r="M5" s="10" t="s">
        <v>38</v>
      </c>
      <c r="N5" s="10"/>
      <c r="O5" s="29"/>
    </row>
    <row r="6" spans="2:21" ht="21.75" customHeight="1" x14ac:dyDescent="0.4">
      <c r="B6" s="29"/>
      <c r="C6" s="11"/>
      <c r="D6" s="33">
        <v>0.34722222222222199</v>
      </c>
      <c r="E6" s="34" t="s">
        <v>11</v>
      </c>
      <c r="F6" s="35" t="s">
        <v>13</v>
      </c>
      <c r="G6" s="35">
        <v>5</v>
      </c>
      <c r="H6" s="35">
        <v>3</v>
      </c>
      <c r="I6" s="30"/>
      <c r="J6" s="33">
        <v>0.35555555555555601</v>
      </c>
      <c r="K6" s="35" t="s">
        <v>17</v>
      </c>
      <c r="L6" s="34" t="s">
        <v>19</v>
      </c>
      <c r="M6" s="35">
        <v>1</v>
      </c>
      <c r="N6" s="36">
        <v>2</v>
      </c>
      <c r="O6" s="29"/>
      <c r="S6" s="37"/>
      <c r="T6" s="37"/>
      <c r="U6" s="37"/>
    </row>
    <row r="7" spans="2:21" ht="23.25" customHeight="1" x14ac:dyDescent="0.4">
      <c r="B7" s="29"/>
      <c r="C7" s="11"/>
      <c r="D7" s="33">
        <v>0.36388888888888898</v>
      </c>
      <c r="E7" s="34" t="s">
        <v>14</v>
      </c>
      <c r="F7" s="35" t="s">
        <v>16</v>
      </c>
      <c r="G7" s="35">
        <v>3</v>
      </c>
      <c r="H7" s="35">
        <v>2</v>
      </c>
      <c r="I7" s="30"/>
      <c r="J7" s="33">
        <v>0.37222222222222201</v>
      </c>
      <c r="K7" s="35" t="s">
        <v>20</v>
      </c>
      <c r="L7" s="34" t="s">
        <v>21</v>
      </c>
      <c r="M7" s="35">
        <v>6</v>
      </c>
      <c r="N7" s="36">
        <v>1</v>
      </c>
      <c r="O7" s="29"/>
      <c r="S7" s="38"/>
      <c r="T7" s="38"/>
      <c r="U7" s="38"/>
    </row>
    <row r="8" spans="2:21" ht="22.5" customHeight="1" x14ac:dyDescent="0.4">
      <c r="B8" s="29"/>
      <c r="C8" s="11"/>
      <c r="D8" s="33">
        <v>0.38055555555555598</v>
      </c>
      <c r="E8" s="34" t="s">
        <v>15</v>
      </c>
      <c r="F8" s="35" t="s">
        <v>11</v>
      </c>
      <c r="G8" s="35">
        <v>3</v>
      </c>
      <c r="H8" s="35">
        <v>2</v>
      </c>
      <c r="I8" s="30"/>
      <c r="J8" s="33">
        <v>0.38888888888888901</v>
      </c>
      <c r="K8" s="35" t="s">
        <v>22</v>
      </c>
      <c r="L8" s="34" t="s">
        <v>17</v>
      </c>
      <c r="M8" s="35"/>
      <c r="N8" s="36"/>
      <c r="O8" s="29"/>
      <c r="P8" s="37"/>
      <c r="Q8" s="37"/>
      <c r="S8" s="38"/>
      <c r="T8" s="38"/>
      <c r="U8" s="38"/>
    </row>
    <row r="9" spans="2:21" ht="22.5" customHeight="1" x14ac:dyDescent="0.4">
      <c r="B9" s="29"/>
      <c r="C9" s="11"/>
      <c r="D9" s="33">
        <v>0.39722222222222198</v>
      </c>
      <c r="E9" s="34" t="s">
        <v>13</v>
      </c>
      <c r="F9" s="35" t="s">
        <v>14</v>
      </c>
      <c r="G9" s="35"/>
      <c r="H9" s="35"/>
      <c r="I9" s="30"/>
      <c r="J9" s="33">
        <v>0.405555555555556</v>
      </c>
      <c r="K9" s="35" t="s">
        <v>19</v>
      </c>
      <c r="L9" s="34" t="s">
        <v>20</v>
      </c>
      <c r="M9" s="35"/>
      <c r="N9" s="36"/>
      <c r="O9" s="29"/>
      <c r="P9" s="38"/>
      <c r="Q9" s="38"/>
      <c r="S9" s="38"/>
      <c r="T9" s="38"/>
      <c r="U9" s="38"/>
    </row>
    <row r="10" spans="2:21" ht="22.5" customHeight="1" x14ac:dyDescent="0.4">
      <c r="B10" s="29"/>
      <c r="C10" s="11"/>
      <c r="D10" s="33">
        <v>0.41388888888888897</v>
      </c>
      <c r="E10" s="34" t="s">
        <v>16</v>
      </c>
      <c r="F10" s="35" t="s">
        <v>15</v>
      </c>
      <c r="G10" s="35"/>
      <c r="H10" s="35"/>
      <c r="I10" s="30"/>
      <c r="J10" s="33">
        <v>0.422222222222222</v>
      </c>
      <c r="K10" s="35" t="s">
        <v>21</v>
      </c>
      <c r="L10" s="34" t="s">
        <v>22</v>
      </c>
      <c r="M10" s="35"/>
      <c r="N10" s="36"/>
      <c r="O10" s="29"/>
      <c r="P10" s="38"/>
      <c r="Q10" s="38"/>
      <c r="S10" s="38"/>
      <c r="T10" s="38"/>
      <c r="U10" s="38"/>
    </row>
    <row r="11" spans="2:21" ht="21.75" customHeight="1" x14ac:dyDescent="0.4">
      <c r="B11" s="29"/>
      <c r="C11" s="11"/>
      <c r="D11" s="33">
        <v>0.43055555555555602</v>
      </c>
      <c r="E11" s="34" t="s">
        <v>11</v>
      </c>
      <c r="F11" s="35" t="s">
        <v>14</v>
      </c>
      <c r="G11" s="35"/>
      <c r="H11" s="35"/>
      <c r="I11" s="30"/>
      <c r="J11" s="39">
        <v>0.43888888888888899</v>
      </c>
      <c r="K11" s="35" t="s">
        <v>17</v>
      </c>
      <c r="L11" s="34" t="s">
        <v>20</v>
      </c>
      <c r="M11" s="40"/>
      <c r="N11" s="41"/>
      <c r="O11" s="29"/>
      <c r="P11" s="38"/>
      <c r="Q11" s="38"/>
      <c r="S11" s="38"/>
      <c r="T11" s="38"/>
      <c r="U11" s="38"/>
    </row>
    <row r="12" spans="2:21" ht="22.5" customHeight="1" x14ac:dyDescent="0.4">
      <c r="B12" s="29"/>
      <c r="C12" s="11"/>
      <c r="D12" s="33">
        <v>0.44722222222222202</v>
      </c>
      <c r="E12" s="34" t="s">
        <v>13</v>
      </c>
      <c r="F12" s="35" t="s">
        <v>16</v>
      </c>
      <c r="G12" s="35"/>
      <c r="H12" s="35"/>
      <c r="I12" s="29"/>
      <c r="J12" s="33">
        <v>0.45555555555555599</v>
      </c>
      <c r="K12" s="35" t="s">
        <v>19</v>
      </c>
      <c r="L12" s="34" t="s">
        <v>21</v>
      </c>
      <c r="M12" s="35"/>
      <c r="N12" s="35"/>
      <c r="O12" s="29"/>
      <c r="P12" s="38"/>
      <c r="Q12" s="38"/>
      <c r="S12" s="38"/>
      <c r="T12" s="38"/>
      <c r="U12" s="38"/>
    </row>
    <row r="13" spans="2:21" ht="21.75" customHeight="1" x14ac:dyDescent="0.4">
      <c r="B13" s="29"/>
      <c r="C13" s="11"/>
      <c r="D13" s="33">
        <v>0.46388888888888902</v>
      </c>
      <c r="E13" s="34" t="s">
        <v>14</v>
      </c>
      <c r="F13" s="35" t="s">
        <v>15</v>
      </c>
      <c r="G13" s="35"/>
      <c r="H13" s="35"/>
      <c r="I13" s="29"/>
      <c r="J13" s="33">
        <v>0.47222222222222199</v>
      </c>
      <c r="K13" s="35" t="s">
        <v>20</v>
      </c>
      <c r="L13" s="35" t="s">
        <v>22</v>
      </c>
      <c r="M13" s="35"/>
      <c r="N13" s="35"/>
      <c r="O13" s="29"/>
      <c r="P13" s="38"/>
      <c r="Q13" s="38"/>
      <c r="S13" s="38"/>
      <c r="T13" s="38"/>
      <c r="U13" s="38"/>
    </row>
    <row r="14" spans="2:21" ht="22.5" customHeight="1" x14ac:dyDescent="0.4">
      <c r="B14" s="29"/>
      <c r="C14" s="11"/>
      <c r="D14" s="33">
        <v>0.48055555555555601</v>
      </c>
      <c r="E14" s="34" t="s">
        <v>11</v>
      </c>
      <c r="F14" s="35" t="s">
        <v>16</v>
      </c>
      <c r="G14" s="35"/>
      <c r="H14" s="35"/>
      <c r="I14" s="29"/>
      <c r="J14" s="33">
        <v>0.48888888888888898</v>
      </c>
      <c r="K14" s="35" t="s">
        <v>17</v>
      </c>
      <c r="L14" s="35" t="s">
        <v>21</v>
      </c>
      <c r="M14" s="35"/>
      <c r="N14" s="35"/>
      <c r="O14" s="29"/>
      <c r="P14" s="38"/>
      <c r="Q14" s="38"/>
      <c r="S14" s="38"/>
      <c r="T14" s="38"/>
      <c r="U14" s="38"/>
    </row>
    <row r="15" spans="2:21" ht="23.25" customHeight="1" x14ac:dyDescent="0.4">
      <c r="B15" s="29"/>
      <c r="C15" s="11"/>
      <c r="D15" s="33">
        <v>0.49722222222222201</v>
      </c>
      <c r="E15" s="34" t="s">
        <v>13</v>
      </c>
      <c r="F15" s="35" t="s">
        <v>15</v>
      </c>
      <c r="G15" s="35"/>
      <c r="H15" s="35"/>
      <c r="I15" s="29"/>
      <c r="J15" s="33">
        <v>0.50555555555555598</v>
      </c>
      <c r="K15" s="35" t="s">
        <v>19</v>
      </c>
      <c r="L15" s="35" t="s">
        <v>22</v>
      </c>
      <c r="M15" s="35"/>
      <c r="N15" s="35"/>
      <c r="O15" s="29"/>
      <c r="P15" s="38"/>
      <c r="Q15" s="38"/>
      <c r="S15" s="38"/>
      <c r="T15" s="38"/>
      <c r="U15" s="38"/>
    </row>
    <row r="16" spans="2:21" ht="16.5" customHeight="1" x14ac:dyDescent="0.3">
      <c r="B16" s="29"/>
      <c r="C16" s="29"/>
      <c r="D16" s="42"/>
      <c r="E16" s="43" t="s">
        <v>39</v>
      </c>
      <c r="F16" s="43" t="s">
        <v>40</v>
      </c>
      <c r="G16" s="44"/>
      <c r="H16" s="45"/>
      <c r="I16" s="29"/>
      <c r="J16" s="45"/>
      <c r="K16" s="43" t="s">
        <v>39</v>
      </c>
      <c r="L16" s="43" t="s">
        <v>40</v>
      </c>
      <c r="M16" s="45"/>
      <c r="N16" s="29"/>
      <c r="O16" s="29"/>
      <c r="P16" s="38"/>
      <c r="Q16" s="38"/>
      <c r="S16" s="38"/>
      <c r="T16" s="38"/>
      <c r="U16" s="38"/>
    </row>
    <row r="17" spans="2:21" ht="27" customHeight="1" x14ac:dyDescent="0.45">
      <c r="B17" s="29"/>
      <c r="C17" s="8" t="s">
        <v>41</v>
      </c>
      <c r="D17" s="46" t="s">
        <v>37</v>
      </c>
      <c r="E17" s="10" t="s">
        <v>24</v>
      </c>
      <c r="F17" s="10"/>
      <c r="G17" s="7" t="s">
        <v>38</v>
      </c>
      <c r="H17" s="7"/>
      <c r="I17" s="47"/>
      <c r="J17" s="46" t="s">
        <v>37</v>
      </c>
      <c r="K17" s="6" t="s">
        <v>30</v>
      </c>
      <c r="L17" s="6"/>
      <c r="M17" s="7" t="s">
        <v>38</v>
      </c>
      <c r="N17" s="7"/>
      <c r="O17" s="29"/>
      <c r="P17" s="38"/>
      <c r="Q17" s="38"/>
      <c r="S17" s="38"/>
      <c r="T17" s="38"/>
      <c r="U17" s="38"/>
    </row>
    <row r="18" spans="2:21" ht="22.5" customHeight="1" x14ac:dyDescent="0.4">
      <c r="B18" s="29"/>
      <c r="C18" s="8"/>
      <c r="D18" s="48">
        <v>0.34722222222222199</v>
      </c>
      <c r="E18" s="35" t="s">
        <v>23</v>
      </c>
      <c r="F18" s="35" t="s">
        <v>25</v>
      </c>
      <c r="G18" s="35">
        <v>4</v>
      </c>
      <c r="H18" s="36">
        <v>1</v>
      </c>
      <c r="I18" s="49"/>
      <c r="J18" s="33">
        <v>0.35555555555555601</v>
      </c>
      <c r="K18" s="35" t="s">
        <v>29</v>
      </c>
      <c r="L18" s="35" t="s">
        <v>31</v>
      </c>
      <c r="M18" s="35">
        <v>3</v>
      </c>
      <c r="N18" s="36">
        <v>4</v>
      </c>
      <c r="O18" s="29"/>
      <c r="P18" s="38"/>
      <c r="Q18" s="38"/>
    </row>
    <row r="19" spans="2:21" ht="22.5" customHeight="1" x14ac:dyDescent="0.4">
      <c r="B19" s="29"/>
      <c r="C19" s="8"/>
      <c r="D19" s="50">
        <v>0.36388888888888898</v>
      </c>
      <c r="E19" s="35" t="s">
        <v>26</v>
      </c>
      <c r="F19" s="35" t="s">
        <v>27</v>
      </c>
      <c r="G19" s="51">
        <v>4</v>
      </c>
      <c r="H19" s="52">
        <v>1</v>
      </c>
      <c r="I19" s="30"/>
      <c r="J19" s="33">
        <v>0.37222222222222201</v>
      </c>
      <c r="K19" s="35" t="s">
        <v>32</v>
      </c>
      <c r="L19" s="35" t="s">
        <v>33</v>
      </c>
      <c r="M19" s="51">
        <v>1</v>
      </c>
      <c r="N19" s="52">
        <v>1</v>
      </c>
      <c r="O19" s="29"/>
    </row>
    <row r="20" spans="2:21" ht="22.5" customHeight="1" x14ac:dyDescent="0.4">
      <c r="B20" s="29"/>
      <c r="C20" s="8"/>
      <c r="D20" s="53">
        <v>0.38055555555555598</v>
      </c>
      <c r="E20" s="35" t="s">
        <v>28</v>
      </c>
      <c r="F20" s="35" t="s">
        <v>25</v>
      </c>
      <c r="G20" s="35"/>
      <c r="H20" s="36"/>
      <c r="I20" s="30"/>
      <c r="J20" s="33">
        <v>0.38888888888888901</v>
      </c>
      <c r="K20" s="35" t="s">
        <v>31</v>
      </c>
      <c r="L20" s="35" t="s">
        <v>34</v>
      </c>
      <c r="M20" s="35"/>
      <c r="N20" s="36"/>
      <c r="O20" s="29"/>
    </row>
    <row r="21" spans="2:21" ht="22.5" customHeight="1" x14ac:dyDescent="0.4">
      <c r="B21" s="29"/>
      <c r="C21" s="8"/>
      <c r="D21" s="50">
        <v>0.39722222222222198</v>
      </c>
      <c r="E21" s="35" t="s">
        <v>23</v>
      </c>
      <c r="F21" s="35" t="s">
        <v>26</v>
      </c>
      <c r="G21" s="51"/>
      <c r="H21" s="52"/>
      <c r="I21" s="30"/>
      <c r="J21" s="33">
        <v>0.405555555555556</v>
      </c>
      <c r="K21" s="35" t="s">
        <v>29</v>
      </c>
      <c r="L21" s="35" t="s">
        <v>32</v>
      </c>
      <c r="M21" s="51"/>
      <c r="N21" s="52"/>
      <c r="O21" s="29"/>
    </row>
    <row r="22" spans="2:21" ht="22.5" customHeight="1" x14ac:dyDescent="0.4">
      <c r="B22" s="29"/>
      <c r="C22" s="8"/>
      <c r="D22" s="53">
        <v>0.41388888888888897</v>
      </c>
      <c r="E22" s="35" t="s">
        <v>27</v>
      </c>
      <c r="F22" s="35" t="s">
        <v>28</v>
      </c>
      <c r="G22" s="35"/>
      <c r="H22" s="36"/>
      <c r="I22" s="30"/>
      <c r="J22" s="33">
        <v>0.422222222222222</v>
      </c>
      <c r="K22" s="35" t="s">
        <v>33</v>
      </c>
      <c r="L22" s="35" t="s">
        <v>34</v>
      </c>
      <c r="M22" s="35"/>
      <c r="N22" s="36"/>
      <c r="O22" s="29"/>
    </row>
    <row r="23" spans="2:21" ht="22.5" customHeight="1" x14ac:dyDescent="0.4">
      <c r="B23" s="29"/>
      <c r="C23" s="8"/>
      <c r="D23" s="50">
        <v>0.43055555555555602</v>
      </c>
      <c r="E23" s="35" t="s">
        <v>25</v>
      </c>
      <c r="F23" s="35" t="s">
        <v>26</v>
      </c>
      <c r="G23" s="51"/>
      <c r="H23" s="52"/>
      <c r="I23" s="30"/>
      <c r="J23" s="39">
        <v>0.43888888888888899</v>
      </c>
      <c r="K23" s="35" t="s">
        <v>32</v>
      </c>
      <c r="L23" s="35" t="s">
        <v>31</v>
      </c>
      <c r="M23" s="40"/>
      <c r="N23" s="41"/>
      <c r="O23" s="29"/>
    </row>
    <row r="24" spans="2:21" ht="22.5" customHeight="1" x14ac:dyDescent="0.4">
      <c r="B24" s="29"/>
      <c r="C24" s="8"/>
      <c r="D24" s="50">
        <v>0.44722222222222202</v>
      </c>
      <c r="E24" s="35" t="s">
        <v>23</v>
      </c>
      <c r="F24" s="35" t="s">
        <v>27</v>
      </c>
      <c r="G24" s="35"/>
      <c r="H24" s="35"/>
      <c r="I24" s="29"/>
      <c r="J24" s="33">
        <v>0.45555555555555599</v>
      </c>
      <c r="K24" s="35" t="s">
        <v>29</v>
      </c>
      <c r="L24" s="35" t="s">
        <v>33</v>
      </c>
      <c r="M24" s="35"/>
      <c r="N24" s="35"/>
      <c r="O24" s="29"/>
    </row>
    <row r="25" spans="2:21" ht="22.5" customHeight="1" x14ac:dyDescent="0.4">
      <c r="B25" s="29"/>
      <c r="C25" s="8"/>
      <c r="D25" s="50">
        <v>0.46388888888888902</v>
      </c>
      <c r="E25" s="35" t="s">
        <v>26</v>
      </c>
      <c r="F25" s="35" t="s">
        <v>28</v>
      </c>
      <c r="G25" s="35"/>
      <c r="H25" s="35"/>
      <c r="I25" s="29"/>
      <c r="J25" s="33">
        <v>0.47222222222222199</v>
      </c>
      <c r="K25" s="35" t="s">
        <v>32</v>
      </c>
      <c r="L25" s="35" t="s">
        <v>34</v>
      </c>
      <c r="M25" s="35"/>
      <c r="N25" s="35"/>
      <c r="O25" s="29"/>
    </row>
    <row r="26" spans="2:21" ht="22.5" customHeight="1" x14ac:dyDescent="0.4">
      <c r="B26" s="29"/>
      <c r="C26" s="8"/>
      <c r="D26" s="50">
        <v>0.48055555555555601</v>
      </c>
      <c r="E26" s="35" t="s">
        <v>25</v>
      </c>
      <c r="F26" s="35" t="s">
        <v>27</v>
      </c>
      <c r="G26" s="35"/>
      <c r="H26" s="35"/>
      <c r="I26" s="29"/>
      <c r="J26" s="33">
        <v>0.48888888888888898</v>
      </c>
      <c r="K26" s="35" t="s">
        <v>31</v>
      </c>
      <c r="L26" s="35" t="s">
        <v>33</v>
      </c>
      <c r="M26" s="35"/>
      <c r="N26" s="35"/>
      <c r="O26" s="29"/>
    </row>
    <row r="27" spans="2:21" ht="22.5" customHeight="1" x14ac:dyDescent="0.4">
      <c r="B27" s="29"/>
      <c r="C27" s="8"/>
      <c r="D27" s="50">
        <v>0.49722222222222201</v>
      </c>
      <c r="E27" s="35" t="s">
        <v>23</v>
      </c>
      <c r="F27" s="35" t="s">
        <v>28</v>
      </c>
      <c r="G27" s="35"/>
      <c r="H27" s="35"/>
      <c r="I27" s="29"/>
      <c r="J27" s="33">
        <v>0.50555555555555598</v>
      </c>
      <c r="K27" s="35" t="s">
        <v>29</v>
      </c>
      <c r="L27" s="35" t="s">
        <v>34</v>
      </c>
      <c r="M27" s="35"/>
      <c r="N27" s="35"/>
      <c r="O27" s="29"/>
    </row>
    <row r="28" spans="2:21" ht="16.5" customHeight="1" x14ac:dyDescent="0.3">
      <c r="B28" s="29"/>
      <c r="C28" s="29"/>
      <c r="D28" s="29"/>
      <c r="E28" s="43" t="s">
        <v>39</v>
      </c>
      <c r="F28" s="43" t="s">
        <v>40</v>
      </c>
      <c r="G28" s="29"/>
      <c r="H28" s="29"/>
      <c r="I28" s="29"/>
      <c r="J28" s="29"/>
      <c r="K28" s="43" t="s">
        <v>39</v>
      </c>
      <c r="L28" s="43" t="s">
        <v>40</v>
      </c>
      <c r="M28" s="29"/>
      <c r="N28" s="29"/>
      <c r="O28" s="29"/>
    </row>
    <row r="29" spans="2:21" ht="15.75" customHeight="1" x14ac:dyDescent="0.3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</sheetData>
  <mergeCells count="11">
    <mergeCell ref="C17:C27"/>
    <mergeCell ref="E17:F17"/>
    <mergeCell ref="G17:H17"/>
    <mergeCell ref="K17:L17"/>
    <mergeCell ref="M17:N17"/>
    <mergeCell ref="D4:N4"/>
    <mergeCell ref="C5:C15"/>
    <mergeCell ref="E5:F5"/>
    <mergeCell ref="G5:H5"/>
    <mergeCell ref="K5:L5"/>
    <mergeCell ref="M5:N5"/>
  </mergeCells>
  <pageMargins left="0.7" right="0.7" top="0.75" bottom="0.75" header="0.511811023622047" footer="0.511811023622047"/>
  <pageSetup paperSize="8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1"/>
  <sheetViews>
    <sheetView zoomScaleNormal="100" workbookViewId="0">
      <selection activeCell="A2" sqref="A2"/>
    </sheetView>
  </sheetViews>
  <sheetFormatPr defaultColWidth="9.109375" defaultRowHeight="14.4" x14ac:dyDescent="0.3"/>
  <cols>
    <col min="2" max="2" width="16" customWidth="1"/>
    <col min="3" max="3" width="15.88671875" customWidth="1"/>
    <col min="4" max="4" width="15.33203125" customWidth="1"/>
    <col min="5" max="5" width="13.5546875" customWidth="1"/>
    <col min="8" max="13" width="13" hidden="1" customWidth="1"/>
  </cols>
  <sheetData>
    <row r="1" spans="1:13" ht="18.75" customHeight="1" x14ac:dyDescent="0.35">
      <c r="A1" s="78" t="s">
        <v>43</v>
      </c>
      <c r="B1" s="78" t="s">
        <v>47</v>
      </c>
      <c r="C1" s="78" t="s">
        <v>48</v>
      </c>
      <c r="D1" s="78" t="s">
        <v>49</v>
      </c>
      <c r="E1" s="78" t="s">
        <v>50</v>
      </c>
      <c r="H1" t="s">
        <v>51</v>
      </c>
      <c r="I1" t="s">
        <v>47</v>
      </c>
      <c r="J1" t="s">
        <v>48</v>
      </c>
      <c r="K1" t="s">
        <v>49</v>
      </c>
      <c r="L1" t="s">
        <v>50</v>
      </c>
      <c r="M1" t="s">
        <v>52</v>
      </c>
    </row>
    <row r="2" spans="1:13" ht="21" customHeight="1" x14ac:dyDescent="0.4">
      <c r="A2" s="20">
        <f t="shared" ref="A2:A41" si="0">IF(B2="","",ROW()-1)</f>
        <v>1</v>
      </c>
      <c r="B2" s="79" t="str">
        <f t="shared" ref="B2:B41" si="1">IFERROR(INDEX($I$2:$I$41,MATCH(SMALL($M$2:$M$41,ROW()-1),$H$2:$H$41,0)),"")</f>
        <v>1BHME</v>
      </c>
      <c r="C2" s="80" t="str">
        <f t="shared" ref="C2:C41" si="2">IFERROR(INDEX($J$2:$J$41,MATCH(SMALL($M$2:$M$41,ROW()-1),$H$2:$H$41,0)),"")</f>
        <v>3AHITN</v>
      </c>
      <c r="D2" s="80">
        <f t="shared" ref="D2:D41" si="3">IFERROR(INDEX($K$2:$K$41,MATCH(SMALL($M$2:$M$41,ROW()-1),$H$2:$H$41,0)),"")</f>
        <v>5</v>
      </c>
      <c r="E2" s="80">
        <f t="shared" ref="E2:E41" si="4">IFERROR(INDEX($L$2:$L$41,MATCH(SMALL($M$2:$M$41,ROW()-1),$H$2:$H$41,0)),"")</f>
        <v>3</v>
      </c>
      <c r="H2">
        <v>1</v>
      </c>
      <c r="I2" t="str">
        <f>Gruppenphase!E6</f>
        <v>1BHME</v>
      </c>
      <c r="J2" t="str">
        <f>Gruppenphase!F6</f>
        <v>3AHITN</v>
      </c>
      <c r="K2">
        <f>IF(Gruppenphase!G6="","",Gruppenphase!G6)</f>
        <v>5</v>
      </c>
      <c r="L2">
        <f>IF(Gruppenphase!H6="","",Gruppenphase!H6)</f>
        <v>3</v>
      </c>
      <c r="M2">
        <f t="shared" ref="M2:M41" si="5">IF(AND(K2&lt;&gt;"",L2&lt;&gt;""),H2,9999)</f>
        <v>1</v>
      </c>
    </row>
    <row r="3" spans="1:13" ht="21" customHeight="1" x14ac:dyDescent="0.4">
      <c r="A3" s="20">
        <f t="shared" si="0"/>
        <v>2</v>
      </c>
      <c r="B3" s="79" t="str">
        <f t="shared" si="1"/>
        <v>3AHMBZ</v>
      </c>
      <c r="C3" s="80" t="str">
        <f t="shared" si="2"/>
        <v>3BHMBZ</v>
      </c>
      <c r="D3" s="80">
        <f t="shared" si="3"/>
        <v>3</v>
      </c>
      <c r="E3" s="80">
        <f t="shared" si="4"/>
        <v>2</v>
      </c>
      <c r="H3">
        <v>2</v>
      </c>
      <c r="I3" t="str">
        <f>Gruppenphase!E7</f>
        <v>3AHMBZ</v>
      </c>
      <c r="J3" t="str">
        <f>Gruppenphase!F7</f>
        <v>3BHMBZ</v>
      </c>
      <c r="K3">
        <f>IF(Gruppenphase!G7="","",Gruppenphase!G7)</f>
        <v>3</v>
      </c>
      <c r="L3">
        <f>IF(Gruppenphase!H7="","",Gruppenphase!H7)</f>
        <v>2</v>
      </c>
      <c r="M3">
        <f t="shared" si="5"/>
        <v>2</v>
      </c>
    </row>
    <row r="4" spans="1:13" ht="21" customHeight="1" x14ac:dyDescent="0.4">
      <c r="A4" s="20">
        <f t="shared" si="0"/>
        <v>3</v>
      </c>
      <c r="B4" s="79" t="str">
        <f t="shared" si="1"/>
        <v>4AHMBZ</v>
      </c>
      <c r="C4" s="80" t="str">
        <f t="shared" si="2"/>
        <v>1BHME</v>
      </c>
      <c r="D4" s="80">
        <f t="shared" si="3"/>
        <v>3</v>
      </c>
      <c r="E4" s="80">
        <f t="shared" si="4"/>
        <v>2</v>
      </c>
      <c r="H4">
        <v>3</v>
      </c>
      <c r="I4" t="str">
        <f>Gruppenphase!E8</f>
        <v>4AHMBZ</v>
      </c>
      <c r="J4" t="str">
        <f>Gruppenphase!F8</f>
        <v>1BHME</v>
      </c>
      <c r="K4">
        <f>IF(Gruppenphase!G8="","",Gruppenphase!G8)</f>
        <v>3</v>
      </c>
      <c r="L4">
        <f>IF(Gruppenphase!H8="","",Gruppenphase!H8)</f>
        <v>2</v>
      </c>
      <c r="M4">
        <f t="shared" si="5"/>
        <v>3</v>
      </c>
    </row>
    <row r="5" spans="1:13" ht="21" customHeight="1" x14ac:dyDescent="0.4">
      <c r="A5" s="20">
        <f t="shared" si="0"/>
        <v>4</v>
      </c>
      <c r="B5" s="79" t="str">
        <f t="shared" si="1"/>
        <v>2AHEL</v>
      </c>
      <c r="C5" s="80" t="str">
        <f t="shared" si="2"/>
        <v>1AHEL</v>
      </c>
      <c r="D5" s="80">
        <f t="shared" si="3"/>
        <v>1</v>
      </c>
      <c r="E5" s="80">
        <f t="shared" si="4"/>
        <v>2</v>
      </c>
      <c r="H5">
        <v>4</v>
      </c>
      <c r="I5" t="str">
        <f>Gruppenphase!E9</f>
        <v>3AHITN</v>
      </c>
      <c r="J5" t="str">
        <f>Gruppenphase!F9</f>
        <v>3AHMBZ</v>
      </c>
      <c r="K5" t="str">
        <f>IF(Gruppenphase!G9="","",Gruppenphase!G9)</f>
        <v/>
      </c>
      <c r="L5" t="str">
        <f>IF(Gruppenphase!H9="","",Gruppenphase!H9)</f>
        <v/>
      </c>
      <c r="M5">
        <f t="shared" si="5"/>
        <v>9999</v>
      </c>
    </row>
    <row r="6" spans="1:13" ht="21" customHeight="1" x14ac:dyDescent="0.4">
      <c r="A6" s="20">
        <f t="shared" si="0"/>
        <v>5</v>
      </c>
      <c r="B6" s="79" t="str">
        <f t="shared" si="1"/>
        <v>2AHMBZ</v>
      </c>
      <c r="C6" s="80" t="str">
        <f t="shared" si="2"/>
        <v>3AHEL</v>
      </c>
      <c r="D6" s="80">
        <f t="shared" si="3"/>
        <v>6</v>
      </c>
      <c r="E6" s="80">
        <f t="shared" si="4"/>
        <v>1</v>
      </c>
      <c r="H6">
        <v>5</v>
      </c>
      <c r="I6" t="str">
        <f>Gruppenphase!E10</f>
        <v>3BHMBZ</v>
      </c>
      <c r="J6" t="str">
        <f>Gruppenphase!F10</f>
        <v>4AHMBZ</v>
      </c>
      <c r="K6" t="str">
        <f>IF(Gruppenphase!G10="","",Gruppenphase!G10)</f>
        <v/>
      </c>
      <c r="L6" t="str">
        <f>IF(Gruppenphase!H10="","",Gruppenphase!H10)</f>
        <v/>
      </c>
      <c r="M6">
        <f t="shared" si="5"/>
        <v>9999</v>
      </c>
    </row>
    <row r="7" spans="1:13" ht="21" customHeight="1" x14ac:dyDescent="0.4">
      <c r="A7" s="20">
        <f t="shared" si="0"/>
        <v>6</v>
      </c>
      <c r="B7" s="79" t="str">
        <f t="shared" si="1"/>
        <v>1AHMBZ</v>
      </c>
      <c r="C7" s="80" t="str">
        <f t="shared" si="2"/>
        <v>2AHITN</v>
      </c>
      <c r="D7" s="80">
        <f t="shared" si="3"/>
        <v>4</v>
      </c>
      <c r="E7" s="80">
        <f t="shared" si="4"/>
        <v>1</v>
      </c>
      <c r="H7">
        <v>6</v>
      </c>
      <c r="I7" t="str">
        <f>Gruppenphase!E11</f>
        <v>1BHME</v>
      </c>
      <c r="J7" t="str">
        <f>Gruppenphase!F11</f>
        <v>3AHMBZ</v>
      </c>
      <c r="K7" t="str">
        <f>IF(Gruppenphase!G11="","",Gruppenphase!G11)</f>
        <v/>
      </c>
      <c r="L7" t="str">
        <f>IF(Gruppenphase!H11="","",Gruppenphase!H11)</f>
        <v/>
      </c>
      <c r="M7">
        <f t="shared" si="5"/>
        <v>9999</v>
      </c>
    </row>
    <row r="8" spans="1:13" ht="21" customHeight="1" x14ac:dyDescent="0.4">
      <c r="A8" s="20">
        <f t="shared" si="0"/>
        <v>7</v>
      </c>
      <c r="B8" s="79" t="str">
        <f t="shared" si="1"/>
        <v>1AHITN</v>
      </c>
      <c r="C8" s="80" t="str">
        <f t="shared" si="2"/>
        <v>2BHME</v>
      </c>
      <c r="D8" s="80">
        <f t="shared" si="3"/>
        <v>4</v>
      </c>
      <c r="E8" s="80">
        <f t="shared" si="4"/>
        <v>1</v>
      </c>
      <c r="H8">
        <v>7</v>
      </c>
      <c r="I8" t="str">
        <f>Gruppenphase!E12</f>
        <v>3AHITN</v>
      </c>
      <c r="J8" t="str">
        <f>Gruppenphase!F12</f>
        <v>3BHMBZ</v>
      </c>
      <c r="K8" t="str">
        <f>IF(Gruppenphase!G12="","",Gruppenphase!G12)</f>
        <v/>
      </c>
      <c r="L8" t="str">
        <f>IF(Gruppenphase!H12="","",Gruppenphase!H12)</f>
        <v/>
      </c>
      <c r="M8">
        <f t="shared" si="5"/>
        <v>9999</v>
      </c>
    </row>
    <row r="9" spans="1:13" ht="21" customHeight="1" x14ac:dyDescent="0.4">
      <c r="A9" s="20">
        <f t="shared" si="0"/>
        <v>8</v>
      </c>
      <c r="B9" s="79" t="str">
        <f t="shared" si="1"/>
        <v>2AFMBZ</v>
      </c>
      <c r="C9" s="80" t="str">
        <f t="shared" si="2"/>
        <v>4BHME</v>
      </c>
      <c r="D9" s="80">
        <f t="shared" si="3"/>
        <v>3</v>
      </c>
      <c r="E9" s="80">
        <f t="shared" si="4"/>
        <v>4</v>
      </c>
      <c r="H9">
        <v>8</v>
      </c>
      <c r="I9" t="str">
        <f>Gruppenphase!E13</f>
        <v>3AHMBZ</v>
      </c>
      <c r="J9" t="str">
        <f>Gruppenphase!F13</f>
        <v>4AHMBZ</v>
      </c>
      <c r="K9" t="str">
        <f>IF(Gruppenphase!G13="","",Gruppenphase!G13)</f>
        <v/>
      </c>
      <c r="L9" t="str">
        <f>IF(Gruppenphase!H13="","",Gruppenphase!H13)</f>
        <v/>
      </c>
      <c r="M9">
        <f t="shared" si="5"/>
        <v>9999</v>
      </c>
    </row>
    <row r="10" spans="1:13" ht="21" customHeight="1" x14ac:dyDescent="0.4">
      <c r="A10" s="20">
        <f t="shared" si="0"/>
        <v>9</v>
      </c>
      <c r="B10" s="79" t="str">
        <f t="shared" si="1"/>
        <v>3BHME</v>
      </c>
      <c r="C10" s="80" t="str">
        <f t="shared" si="2"/>
        <v>4AHEL</v>
      </c>
      <c r="D10" s="80">
        <f t="shared" si="3"/>
        <v>1</v>
      </c>
      <c r="E10" s="80">
        <f t="shared" si="4"/>
        <v>1</v>
      </c>
      <c r="H10">
        <v>9</v>
      </c>
      <c r="I10" t="str">
        <f>Gruppenphase!E14</f>
        <v>1BHME</v>
      </c>
      <c r="J10" t="str">
        <f>Gruppenphase!F14</f>
        <v>3BHMBZ</v>
      </c>
      <c r="K10" t="str">
        <f>IF(Gruppenphase!G14="","",Gruppenphase!G14)</f>
        <v/>
      </c>
      <c r="L10" t="str">
        <f>IF(Gruppenphase!H14="","",Gruppenphase!H14)</f>
        <v/>
      </c>
      <c r="M10">
        <f t="shared" si="5"/>
        <v>9999</v>
      </c>
    </row>
    <row r="11" spans="1:13" ht="21" customHeight="1" x14ac:dyDescent="0.4">
      <c r="A11" s="20" t="str">
        <f t="shared" si="0"/>
        <v/>
      </c>
      <c r="B11" s="79" t="str">
        <f t="shared" si="1"/>
        <v/>
      </c>
      <c r="C11" s="80" t="str">
        <f t="shared" si="2"/>
        <v/>
      </c>
      <c r="D11" s="80" t="str">
        <f t="shared" si="3"/>
        <v/>
      </c>
      <c r="E11" s="80" t="str">
        <f t="shared" si="4"/>
        <v/>
      </c>
      <c r="H11">
        <v>10</v>
      </c>
      <c r="I11" t="str">
        <f>Gruppenphase!E15</f>
        <v>3AHITN</v>
      </c>
      <c r="J11" t="str">
        <f>Gruppenphase!F15</f>
        <v>4AHMBZ</v>
      </c>
      <c r="K11" t="str">
        <f>IF(Gruppenphase!G15="","",Gruppenphase!G15)</f>
        <v/>
      </c>
      <c r="L11" t="str">
        <f>IF(Gruppenphase!H15="","",Gruppenphase!H15)</f>
        <v/>
      </c>
      <c r="M11">
        <f t="shared" si="5"/>
        <v>9999</v>
      </c>
    </row>
    <row r="12" spans="1:13" ht="21" customHeight="1" x14ac:dyDescent="0.4">
      <c r="A12" s="20" t="str">
        <f t="shared" si="0"/>
        <v/>
      </c>
      <c r="B12" s="80" t="str">
        <f t="shared" si="1"/>
        <v/>
      </c>
      <c r="C12" s="80" t="str">
        <f t="shared" si="2"/>
        <v/>
      </c>
      <c r="D12" s="80" t="str">
        <f t="shared" si="3"/>
        <v/>
      </c>
      <c r="E12" s="80" t="str">
        <f t="shared" si="4"/>
        <v/>
      </c>
      <c r="H12">
        <v>11</v>
      </c>
      <c r="I12" t="str">
        <f>Gruppenphase!K6</f>
        <v>2AHEL</v>
      </c>
      <c r="J12" t="str">
        <f>Gruppenphase!L6</f>
        <v>1AHEL</v>
      </c>
      <c r="K12">
        <f>IF(Gruppenphase!M6="","",Gruppenphase!M6)</f>
        <v>1</v>
      </c>
      <c r="L12">
        <f>IF(Gruppenphase!N6="","",Gruppenphase!N6)</f>
        <v>2</v>
      </c>
      <c r="M12">
        <f t="shared" si="5"/>
        <v>11</v>
      </c>
    </row>
    <row r="13" spans="1:13" ht="21" customHeight="1" x14ac:dyDescent="0.4">
      <c r="A13" s="20" t="str">
        <f t="shared" si="0"/>
        <v/>
      </c>
      <c r="B13" s="81" t="str">
        <f t="shared" si="1"/>
        <v/>
      </c>
      <c r="C13" s="82" t="str">
        <f t="shared" si="2"/>
        <v/>
      </c>
      <c r="D13" s="80" t="str">
        <f t="shared" si="3"/>
        <v/>
      </c>
      <c r="E13" s="80" t="str">
        <f t="shared" si="4"/>
        <v/>
      </c>
      <c r="H13">
        <v>12</v>
      </c>
      <c r="I13" t="str">
        <f>Gruppenphase!K7</f>
        <v>2AHMBZ</v>
      </c>
      <c r="J13" t="str">
        <f>Gruppenphase!L7</f>
        <v>3AHEL</v>
      </c>
      <c r="K13">
        <f>IF(Gruppenphase!M7="","",Gruppenphase!M7)</f>
        <v>6</v>
      </c>
      <c r="L13">
        <f>IF(Gruppenphase!N7="","",Gruppenphase!N7)</f>
        <v>1</v>
      </c>
      <c r="M13">
        <f t="shared" si="5"/>
        <v>12</v>
      </c>
    </row>
    <row r="14" spans="1:13" ht="21" customHeight="1" x14ac:dyDescent="0.4">
      <c r="A14" s="20" t="str">
        <f t="shared" si="0"/>
        <v/>
      </c>
      <c r="B14" s="82" t="str">
        <f t="shared" si="1"/>
        <v/>
      </c>
      <c r="C14" s="81" t="str">
        <f t="shared" si="2"/>
        <v/>
      </c>
      <c r="D14" s="80" t="str">
        <f t="shared" si="3"/>
        <v/>
      </c>
      <c r="E14" s="80" t="str">
        <f t="shared" si="4"/>
        <v/>
      </c>
      <c r="H14">
        <v>13</v>
      </c>
      <c r="I14" t="str">
        <f>Gruppenphase!K8</f>
        <v>2AHME</v>
      </c>
      <c r="J14" t="str">
        <f>Gruppenphase!L8</f>
        <v>2AHEL</v>
      </c>
      <c r="K14" t="str">
        <f>IF(Gruppenphase!M8="","",Gruppenphase!M8)</f>
        <v/>
      </c>
      <c r="L14" t="str">
        <f>IF(Gruppenphase!N8="","",Gruppenphase!N8)</f>
        <v/>
      </c>
      <c r="M14">
        <f t="shared" si="5"/>
        <v>9999</v>
      </c>
    </row>
    <row r="15" spans="1:13" ht="21" customHeight="1" x14ac:dyDescent="0.4">
      <c r="A15" s="20" t="str">
        <f t="shared" si="0"/>
        <v/>
      </c>
      <c r="B15" s="81" t="str">
        <f t="shared" si="1"/>
        <v/>
      </c>
      <c r="C15" s="82" t="str">
        <f t="shared" si="2"/>
        <v/>
      </c>
      <c r="D15" s="80" t="str">
        <f t="shared" si="3"/>
        <v/>
      </c>
      <c r="E15" s="80" t="str">
        <f t="shared" si="4"/>
        <v/>
      </c>
      <c r="H15">
        <v>14</v>
      </c>
      <c r="I15" t="str">
        <f>Gruppenphase!K9</f>
        <v>1AHEL</v>
      </c>
      <c r="J15" t="str">
        <f>Gruppenphase!L9</f>
        <v>2AHMBZ</v>
      </c>
      <c r="K15" t="str">
        <f>IF(Gruppenphase!M9="","",Gruppenphase!M9)</f>
        <v/>
      </c>
      <c r="L15" t="str">
        <f>IF(Gruppenphase!N9="","",Gruppenphase!N9)</f>
        <v/>
      </c>
      <c r="M15">
        <f t="shared" si="5"/>
        <v>9999</v>
      </c>
    </row>
    <row r="16" spans="1:13" ht="21" customHeight="1" x14ac:dyDescent="0.4">
      <c r="A16" s="20" t="str">
        <f t="shared" si="0"/>
        <v/>
      </c>
      <c r="B16" s="82" t="str">
        <f t="shared" si="1"/>
        <v/>
      </c>
      <c r="C16" s="81" t="str">
        <f t="shared" si="2"/>
        <v/>
      </c>
      <c r="D16" s="80" t="str">
        <f t="shared" si="3"/>
        <v/>
      </c>
      <c r="E16" s="80" t="str">
        <f t="shared" si="4"/>
        <v/>
      </c>
      <c r="H16">
        <v>15</v>
      </c>
      <c r="I16" t="str">
        <f>Gruppenphase!K10</f>
        <v>3AHEL</v>
      </c>
      <c r="J16" t="str">
        <f>Gruppenphase!L10</f>
        <v>2AHME</v>
      </c>
      <c r="K16" t="str">
        <f>IF(Gruppenphase!M10="","",Gruppenphase!M10)</f>
        <v/>
      </c>
      <c r="L16" t="str">
        <f>IF(Gruppenphase!N10="","",Gruppenphase!N10)</f>
        <v/>
      </c>
      <c r="M16">
        <f t="shared" si="5"/>
        <v>9999</v>
      </c>
    </row>
    <row r="17" spans="1:13" ht="21" customHeight="1" x14ac:dyDescent="0.4">
      <c r="A17" s="20" t="str">
        <f t="shared" si="0"/>
        <v/>
      </c>
      <c r="B17" s="81" t="str">
        <f t="shared" si="1"/>
        <v/>
      </c>
      <c r="C17" s="81" t="str">
        <f t="shared" si="2"/>
        <v/>
      </c>
      <c r="D17" s="80" t="str">
        <f t="shared" si="3"/>
        <v/>
      </c>
      <c r="E17" s="80" t="str">
        <f t="shared" si="4"/>
        <v/>
      </c>
      <c r="H17">
        <v>16</v>
      </c>
      <c r="I17" t="str">
        <f>Gruppenphase!K11</f>
        <v>2AHEL</v>
      </c>
      <c r="J17" t="str">
        <f>Gruppenphase!L11</f>
        <v>2AHMBZ</v>
      </c>
      <c r="K17" t="str">
        <f>IF(Gruppenphase!M11="","",Gruppenphase!M11)</f>
        <v/>
      </c>
      <c r="L17" t="str">
        <f>IF(Gruppenphase!N11="","",Gruppenphase!N11)</f>
        <v/>
      </c>
      <c r="M17">
        <f t="shared" si="5"/>
        <v>9999</v>
      </c>
    </row>
    <row r="18" spans="1:13" ht="21" customHeight="1" x14ac:dyDescent="0.4">
      <c r="A18" s="20" t="str">
        <f t="shared" si="0"/>
        <v/>
      </c>
      <c r="B18" s="82" t="str">
        <f t="shared" si="1"/>
        <v/>
      </c>
      <c r="C18" s="81" t="str">
        <f t="shared" si="2"/>
        <v/>
      </c>
      <c r="D18" s="80" t="str">
        <f t="shared" si="3"/>
        <v/>
      </c>
      <c r="E18" s="80" t="str">
        <f t="shared" si="4"/>
        <v/>
      </c>
      <c r="H18">
        <v>17</v>
      </c>
      <c r="I18" t="str">
        <f>Gruppenphase!K12</f>
        <v>1AHEL</v>
      </c>
      <c r="J18" t="str">
        <f>Gruppenphase!L12</f>
        <v>3AHEL</v>
      </c>
      <c r="K18" t="str">
        <f>IF(Gruppenphase!M12="","",Gruppenphase!M12)</f>
        <v/>
      </c>
      <c r="L18" t="str">
        <f>IF(Gruppenphase!N12="","",Gruppenphase!N12)</f>
        <v/>
      </c>
      <c r="M18">
        <f t="shared" si="5"/>
        <v>9999</v>
      </c>
    </row>
    <row r="19" spans="1:13" ht="21" customHeight="1" x14ac:dyDescent="0.4">
      <c r="A19" s="20" t="str">
        <f t="shared" si="0"/>
        <v/>
      </c>
      <c r="B19" s="81" t="str">
        <f t="shared" si="1"/>
        <v/>
      </c>
      <c r="C19" s="81" t="str">
        <f t="shared" si="2"/>
        <v/>
      </c>
      <c r="D19" s="80" t="str">
        <f t="shared" si="3"/>
        <v/>
      </c>
      <c r="E19" s="80" t="str">
        <f t="shared" si="4"/>
        <v/>
      </c>
      <c r="H19">
        <v>18</v>
      </c>
      <c r="I19" t="str">
        <f>Gruppenphase!K13</f>
        <v>2AHMBZ</v>
      </c>
      <c r="J19" t="str">
        <f>Gruppenphase!L13</f>
        <v>2AHME</v>
      </c>
      <c r="K19" t="str">
        <f>IF(Gruppenphase!M13="","",Gruppenphase!M13)</f>
        <v/>
      </c>
      <c r="L19" t="str">
        <f>IF(Gruppenphase!N13="","",Gruppenphase!N13)</f>
        <v/>
      </c>
      <c r="M19">
        <f t="shared" si="5"/>
        <v>9999</v>
      </c>
    </row>
    <row r="20" spans="1:13" ht="21" customHeight="1" x14ac:dyDescent="0.4">
      <c r="A20" s="20" t="str">
        <f t="shared" si="0"/>
        <v/>
      </c>
      <c r="B20" s="82" t="str">
        <f t="shared" si="1"/>
        <v/>
      </c>
      <c r="C20" s="81" t="str">
        <f t="shared" si="2"/>
        <v/>
      </c>
      <c r="D20" s="80" t="str">
        <f t="shared" si="3"/>
        <v/>
      </c>
      <c r="E20" s="80" t="str">
        <f t="shared" si="4"/>
        <v/>
      </c>
      <c r="H20">
        <v>19</v>
      </c>
      <c r="I20" t="str">
        <f>Gruppenphase!K14</f>
        <v>2AHEL</v>
      </c>
      <c r="J20" t="str">
        <f>Gruppenphase!L14</f>
        <v>3AHEL</v>
      </c>
      <c r="K20" t="str">
        <f>IF(Gruppenphase!M14="","",Gruppenphase!M14)</f>
        <v/>
      </c>
      <c r="L20" t="str">
        <f>IF(Gruppenphase!N14="","",Gruppenphase!N14)</f>
        <v/>
      </c>
      <c r="M20">
        <f t="shared" si="5"/>
        <v>9999</v>
      </c>
    </row>
    <row r="21" spans="1:13" ht="21" customHeight="1" x14ac:dyDescent="0.4">
      <c r="A21" s="20" t="str">
        <f t="shared" si="0"/>
        <v/>
      </c>
      <c r="B21" s="81" t="str">
        <f t="shared" si="1"/>
        <v/>
      </c>
      <c r="C21" s="81" t="str">
        <f t="shared" si="2"/>
        <v/>
      </c>
      <c r="D21" s="80" t="str">
        <f t="shared" si="3"/>
        <v/>
      </c>
      <c r="E21" s="80" t="str">
        <f t="shared" si="4"/>
        <v/>
      </c>
      <c r="H21">
        <v>20</v>
      </c>
      <c r="I21" t="str">
        <f>Gruppenphase!K15</f>
        <v>1AHEL</v>
      </c>
      <c r="J21" t="str">
        <f>Gruppenphase!L15</f>
        <v>2AHME</v>
      </c>
      <c r="K21" t="str">
        <f>IF(Gruppenphase!M15="","",Gruppenphase!M15)</f>
        <v/>
      </c>
      <c r="L21" t="str">
        <f>IF(Gruppenphase!N15="","",Gruppenphase!N15)</f>
        <v/>
      </c>
      <c r="M21">
        <f t="shared" si="5"/>
        <v>9999</v>
      </c>
    </row>
    <row r="22" spans="1:13" ht="21" customHeight="1" x14ac:dyDescent="0.4">
      <c r="A22" s="20" t="str">
        <f t="shared" si="0"/>
        <v/>
      </c>
      <c r="B22" s="81" t="str">
        <f t="shared" si="1"/>
        <v/>
      </c>
      <c r="C22" s="81" t="str">
        <f t="shared" si="2"/>
        <v/>
      </c>
      <c r="D22" s="80" t="str">
        <f t="shared" si="3"/>
        <v/>
      </c>
      <c r="E22" s="80" t="str">
        <f t="shared" si="4"/>
        <v/>
      </c>
      <c r="H22">
        <v>21</v>
      </c>
      <c r="I22" t="str">
        <f>Gruppenphase!E18</f>
        <v>1AHMBZ</v>
      </c>
      <c r="J22" t="str">
        <f>Gruppenphase!F18</f>
        <v>2AHITN</v>
      </c>
      <c r="K22">
        <f>IF(Gruppenphase!G18="","",Gruppenphase!G18)</f>
        <v>4</v>
      </c>
      <c r="L22">
        <f>IF(Gruppenphase!H18="","",Gruppenphase!H18)</f>
        <v>1</v>
      </c>
      <c r="M22">
        <f t="shared" si="5"/>
        <v>21</v>
      </c>
    </row>
    <row r="23" spans="1:13" ht="21" customHeight="1" x14ac:dyDescent="0.4">
      <c r="A23" s="20" t="str">
        <f t="shared" si="0"/>
        <v/>
      </c>
      <c r="B23" s="81" t="str">
        <f t="shared" si="1"/>
        <v/>
      </c>
      <c r="C23" s="81" t="str">
        <f t="shared" si="2"/>
        <v/>
      </c>
      <c r="D23" s="80" t="str">
        <f t="shared" si="3"/>
        <v/>
      </c>
      <c r="E23" s="80" t="str">
        <f t="shared" si="4"/>
        <v/>
      </c>
      <c r="H23">
        <v>22</v>
      </c>
      <c r="I23" t="str">
        <f>Gruppenphase!E19</f>
        <v>1AHITN</v>
      </c>
      <c r="J23" t="str">
        <f>Gruppenphase!F19</f>
        <v>2BHME</v>
      </c>
      <c r="K23">
        <f>IF(Gruppenphase!G19="","",Gruppenphase!G19)</f>
        <v>4</v>
      </c>
      <c r="L23">
        <f>IF(Gruppenphase!H19="","",Gruppenphase!H19)</f>
        <v>1</v>
      </c>
      <c r="M23">
        <f t="shared" si="5"/>
        <v>22</v>
      </c>
    </row>
    <row r="24" spans="1:13" ht="21" customHeight="1" x14ac:dyDescent="0.4">
      <c r="A24" s="20" t="str">
        <f t="shared" si="0"/>
        <v/>
      </c>
      <c r="B24" s="81" t="str">
        <f t="shared" si="1"/>
        <v/>
      </c>
      <c r="C24" s="81" t="str">
        <f t="shared" si="2"/>
        <v/>
      </c>
      <c r="D24" s="80" t="str">
        <f t="shared" si="3"/>
        <v/>
      </c>
      <c r="E24" s="80" t="str">
        <f t="shared" si="4"/>
        <v/>
      </c>
      <c r="H24">
        <v>23</v>
      </c>
      <c r="I24" t="str">
        <f>Gruppenphase!E20</f>
        <v>1AHME</v>
      </c>
      <c r="J24" t="str">
        <f>Gruppenphase!F20</f>
        <v>2AHITN</v>
      </c>
      <c r="K24" t="str">
        <f>IF(Gruppenphase!G20="","",Gruppenphase!G20)</f>
        <v/>
      </c>
      <c r="L24" t="str">
        <f>IF(Gruppenphase!H20="","",Gruppenphase!H20)</f>
        <v/>
      </c>
      <c r="M24">
        <f t="shared" si="5"/>
        <v>9999</v>
      </c>
    </row>
    <row r="25" spans="1:13" ht="21" customHeight="1" x14ac:dyDescent="0.4">
      <c r="A25" s="20" t="str">
        <f t="shared" si="0"/>
        <v/>
      </c>
      <c r="B25" s="81" t="str">
        <f t="shared" si="1"/>
        <v/>
      </c>
      <c r="C25" s="81" t="str">
        <f t="shared" si="2"/>
        <v/>
      </c>
      <c r="D25" s="80" t="str">
        <f t="shared" si="3"/>
        <v/>
      </c>
      <c r="E25" s="80" t="str">
        <f t="shared" si="4"/>
        <v/>
      </c>
      <c r="H25">
        <v>24</v>
      </c>
      <c r="I25" t="str">
        <f>Gruppenphase!E21</f>
        <v>1AHMBZ</v>
      </c>
      <c r="J25" t="str">
        <f>Gruppenphase!F21</f>
        <v>1AHITN</v>
      </c>
      <c r="K25" t="str">
        <f>IF(Gruppenphase!G21="","",Gruppenphase!G21)</f>
        <v/>
      </c>
      <c r="L25" t="str">
        <f>IF(Gruppenphase!H21="","",Gruppenphase!H21)</f>
        <v/>
      </c>
      <c r="M25">
        <f t="shared" si="5"/>
        <v>9999</v>
      </c>
    </row>
    <row r="26" spans="1:13" ht="21" customHeight="1" x14ac:dyDescent="0.4">
      <c r="A26" s="20" t="str">
        <f t="shared" si="0"/>
        <v/>
      </c>
      <c r="B26" s="81" t="str">
        <f t="shared" si="1"/>
        <v/>
      </c>
      <c r="C26" s="81" t="str">
        <f t="shared" si="2"/>
        <v/>
      </c>
      <c r="D26" s="80" t="str">
        <f t="shared" si="3"/>
        <v/>
      </c>
      <c r="E26" s="80" t="str">
        <f t="shared" si="4"/>
        <v/>
      </c>
      <c r="H26">
        <v>25</v>
      </c>
      <c r="I26" t="str">
        <f>Gruppenphase!E22</f>
        <v>2BHME</v>
      </c>
      <c r="J26" t="str">
        <f>Gruppenphase!F22</f>
        <v>1AHME</v>
      </c>
      <c r="K26" t="str">
        <f>IF(Gruppenphase!G22="","",Gruppenphase!G22)</f>
        <v/>
      </c>
      <c r="L26" t="str">
        <f>IF(Gruppenphase!H22="","",Gruppenphase!H22)</f>
        <v/>
      </c>
      <c r="M26">
        <f t="shared" si="5"/>
        <v>9999</v>
      </c>
    </row>
    <row r="27" spans="1:13" ht="21" customHeight="1" x14ac:dyDescent="0.4">
      <c r="A27" s="20" t="str">
        <f t="shared" si="0"/>
        <v/>
      </c>
      <c r="B27" s="81" t="str">
        <f t="shared" si="1"/>
        <v/>
      </c>
      <c r="C27" s="81" t="str">
        <f t="shared" si="2"/>
        <v/>
      </c>
      <c r="D27" s="80" t="str">
        <f t="shared" si="3"/>
        <v/>
      </c>
      <c r="E27" s="80" t="str">
        <f t="shared" si="4"/>
        <v/>
      </c>
      <c r="H27">
        <v>26</v>
      </c>
      <c r="I27" t="str">
        <f>Gruppenphase!E23</f>
        <v>2AHITN</v>
      </c>
      <c r="J27" t="str">
        <f>Gruppenphase!F23</f>
        <v>1AHITN</v>
      </c>
      <c r="K27" t="str">
        <f>IF(Gruppenphase!G23="","",Gruppenphase!G23)</f>
        <v/>
      </c>
      <c r="L27" t="str">
        <f>IF(Gruppenphase!H23="","",Gruppenphase!H23)</f>
        <v/>
      </c>
      <c r="M27">
        <f t="shared" si="5"/>
        <v>9999</v>
      </c>
    </row>
    <row r="28" spans="1:13" ht="21" customHeight="1" x14ac:dyDescent="0.4">
      <c r="A28" s="20" t="str">
        <f t="shared" si="0"/>
        <v/>
      </c>
      <c r="B28" s="81" t="str">
        <f t="shared" si="1"/>
        <v/>
      </c>
      <c r="C28" s="81" t="str">
        <f t="shared" si="2"/>
        <v/>
      </c>
      <c r="D28" s="80" t="str">
        <f t="shared" si="3"/>
        <v/>
      </c>
      <c r="E28" s="80" t="str">
        <f t="shared" si="4"/>
        <v/>
      </c>
      <c r="H28">
        <v>27</v>
      </c>
      <c r="I28" t="str">
        <f>Gruppenphase!E24</f>
        <v>1AHMBZ</v>
      </c>
      <c r="J28" t="str">
        <f>Gruppenphase!F24</f>
        <v>2BHME</v>
      </c>
      <c r="K28" t="str">
        <f>IF(Gruppenphase!G24="","",Gruppenphase!G24)</f>
        <v/>
      </c>
      <c r="L28" t="str">
        <f>IF(Gruppenphase!H24="","",Gruppenphase!H24)</f>
        <v/>
      </c>
      <c r="M28">
        <f t="shared" si="5"/>
        <v>9999</v>
      </c>
    </row>
    <row r="29" spans="1:13" ht="21" customHeight="1" x14ac:dyDescent="0.4">
      <c r="A29" s="20" t="str">
        <f t="shared" si="0"/>
        <v/>
      </c>
      <c r="B29" s="81" t="str">
        <f t="shared" si="1"/>
        <v/>
      </c>
      <c r="C29" s="81" t="str">
        <f t="shared" si="2"/>
        <v/>
      </c>
      <c r="D29" s="80" t="str">
        <f t="shared" si="3"/>
        <v/>
      </c>
      <c r="E29" s="80" t="str">
        <f t="shared" si="4"/>
        <v/>
      </c>
      <c r="H29">
        <v>28</v>
      </c>
      <c r="I29" t="str">
        <f>Gruppenphase!E25</f>
        <v>1AHITN</v>
      </c>
      <c r="J29" t="str">
        <f>Gruppenphase!F25</f>
        <v>1AHME</v>
      </c>
      <c r="K29" t="str">
        <f>IF(Gruppenphase!G25="","",Gruppenphase!G25)</f>
        <v/>
      </c>
      <c r="L29" t="str">
        <f>IF(Gruppenphase!H25="","",Gruppenphase!H25)</f>
        <v/>
      </c>
      <c r="M29">
        <f t="shared" si="5"/>
        <v>9999</v>
      </c>
    </row>
    <row r="30" spans="1:13" ht="21" customHeight="1" x14ac:dyDescent="0.4">
      <c r="A30" s="20" t="str">
        <f t="shared" si="0"/>
        <v/>
      </c>
      <c r="B30" s="81" t="str">
        <f t="shared" si="1"/>
        <v/>
      </c>
      <c r="C30" s="81" t="str">
        <f t="shared" si="2"/>
        <v/>
      </c>
      <c r="D30" s="80" t="str">
        <f t="shared" si="3"/>
        <v/>
      </c>
      <c r="E30" s="80" t="str">
        <f t="shared" si="4"/>
        <v/>
      </c>
      <c r="H30">
        <v>29</v>
      </c>
      <c r="I30" t="str">
        <f>Gruppenphase!E26</f>
        <v>2AHITN</v>
      </c>
      <c r="J30" t="str">
        <f>Gruppenphase!F26</f>
        <v>2BHME</v>
      </c>
      <c r="K30" t="str">
        <f>IF(Gruppenphase!G26="","",Gruppenphase!G26)</f>
        <v/>
      </c>
      <c r="L30" t="str">
        <f>IF(Gruppenphase!H26="","",Gruppenphase!H26)</f>
        <v/>
      </c>
      <c r="M30">
        <f t="shared" si="5"/>
        <v>9999</v>
      </c>
    </row>
    <row r="31" spans="1:13" ht="21" customHeight="1" x14ac:dyDescent="0.4">
      <c r="A31" s="20" t="str">
        <f t="shared" si="0"/>
        <v/>
      </c>
      <c r="B31" s="81" t="str">
        <f t="shared" si="1"/>
        <v/>
      </c>
      <c r="C31" s="81" t="str">
        <f t="shared" si="2"/>
        <v/>
      </c>
      <c r="D31" s="80" t="str">
        <f t="shared" si="3"/>
        <v/>
      </c>
      <c r="E31" s="80" t="str">
        <f t="shared" si="4"/>
        <v/>
      </c>
      <c r="H31">
        <v>30</v>
      </c>
      <c r="I31" t="str">
        <f>Gruppenphase!E27</f>
        <v>1AHMBZ</v>
      </c>
      <c r="J31" t="str">
        <f>Gruppenphase!F27</f>
        <v>1AHME</v>
      </c>
      <c r="K31" t="str">
        <f>IF(Gruppenphase!G27="","",Gruppenphase!G27)</f>
        <v/>
      </c>
      <c r="L31" t="str">
        <f>IF(Gruppenphase!H27="","",Gruppenphase!H27)</f>
        <v/>
      </c>
      <c r="M31">
        <f t="shared" si="5"/>
        <v>9999</v>
      </c>
    </row>
    <row r="32" spans="1:13" ht="21" customHeight="1" x14ac:dyDescent="0.4">
      <c r="A32" s="20" t="str">
        <f t="shared" si="0"/>
        <v/>
      </c>
      <c r="B32" s="81" t="str">
        <f t="shared" si="1"/>
        <v/>
      </c>
      <c r="C32" s="81" t="str">
        <f t="shared" si="2"/>
        <v/>
      </c>
      <c r="D32" s="80" t="str">
        <f t="shared" si="3"/>
        <v/>
      </c>
      <c r="E32" s="80" t="str">
        <f t="shared" si="4"/>
        <v/>
      </c>
      <c r="H32">
        <v>31</v>
      </c>
      <c r="I32" t="str">
        <f>Gruppenphase!K18</f>
        <v>2AFMBZ</v>
      </c>
      <c r="J32" t="str">
        <f>Gruppenphase!L18</f>
        <v>4BHME</v>
      </c>
      <c r="K32">
        <f>IF(Gruppenphase!M18="","",Gruppenphase!M18)</f>
        <v>3</v>
      </c>
      <c r="L32">
        <f>IF(Gruppenphase!N18="","",Gruppenphase!N18)</f>
        <v>4</v>
      </c>
      <c r="M32">
        <f t="shared" si="5"/>
        <v>31</v>
      </c>
    </row>
    <row r="33" spans="1:13" ht="21" customHeight="1" x14ac:dyDescent="0.4">
      <c r="A33" s="20" t="str">
        <f t="shared" si="0"/>
        <v/>
      </c>
      <c r="B33" s="81" t="str">
        <f t="shared" si="1"/>
        <v/>
      </c>
      <c r="C33" s="81" t="str">
        <f t="shared" si="2"/>
        <v/>
      </c>
      <c r="D33" s="80" t="str">
        <f t="shared" si="3"/>
        <v/>
      </c>
      <c r="E33" s="80" t="str">
        <f t="shared" si="4"/>
        <v/>
      </c>
      <c r="H33">
        <v>32</v>
      </c>
      <c r="I33" t="str">
        <f>Gruppenphase!K19</f>
        <v>3BHME</v>
      </c>
      <c r="J33" t="str">
        <f>Gruppenphase!L19</f>
        <v>4AHEL</v>
      </c>
      <c r="K33">
        <f>IF(Gruppenphase!M19="","",Gruppenphase!M19)</f>
        <v>1</v>
      </c>
      <c r="L33">
        <f>IF(Gruppenphase!N19="","",Gruppenphase!N19)</f>
        <v>1</v>
      </c>
      <c r="M33">
        <f t="shared" si="5"/>
        <v>32</v>
      </c>
    </row>
    <row r="34" spans="1:13" ht="21" customHeight="1" x14ac:dyDescent="0.4">
      <c r="A34" s="20" t="str">
        <f t="shared" si="0"/>
        <v/>
      </c>
      <c r="B34" s="81" t="str">
        <f t="shared" si="1"/>
        <v/>
      </c>
      <c r="C34" s="81" t="str">
        <f t="shared" si="2"/>
        <v/>
      </c>
      <c r="D34" s="80" t="str">
        <f t="shared" si="3"/>
        <v/>
      </c>
      <c r="E34" s="80" t="str">
        <f t="shared" si="4"/>
        <v/>
      </c>
      <c r="H34">
        <v>33</v>
      </c>
      <c r="I34" t="str">
        <f>Gruppenphase!K20</f>
        <v>4BHME</v>
      </c>
      <c r="J34" t="str">
        <f>Gruppenphase!L20</f>
        <v>4AHITN</v>
      </c>
      <c r="K34" t="str">
        <f>IF(Gruppenphase!M20="","",Gruppenphase!M20)</f>
        <v/>
      </c>
      <c r="L34" t="str">
        <f>IF(Gruppenphase!N20="","",Gruppenphase!N20)</f>
        <v/>
      </c>
      <c r="M34">
        <f t="shared" si="5"/>
        <v>9999</v>
      </c>
    </row>
    <row r="35" spans="1:13" ht="21" customHeight="1" x14ac:dyDescent="0.4">
      <c r="A35" s="20" t="str">
        <f t="shared" si="0"/>
        <v/>
      </c>
      <c r="B35" s="81" t="str">
        <f t="shared" si="1"/>
        <v/>
      </c>
      <c r="C35" s="81" t="str">
        <f t="shared" si="2"/>
        <v/>
      </c>
      <c r="D35" s="80" t="str">
        <f t="shared" si="3"/>
        <v/>
      </c>
      <c r="E35" s="80" t="str">
        <f t="shared" si="4"/>
        <v/>
      </c>
      <c r="H35">
        <v>34</v>
      </c>
      <c r="I35" t="str">
        <f>Gruppenphase!K21</f>
        <v>2AFMBZ</v>
      </c>
      <c r="J35" t="str">
        <f>Gruppenphase!L21</f>
        <v>3BHME</v>
      </c>
      <c r="K35" t="str">
        <f>IF(Gruppenphase!M21="","",Gruppenphase!M21)</f>
        <v/>
      </c>
      <c r="L35" t="str">
        <f>IF(Gruppenphase!N21="","",Gruppenphase!N21)</f>
        <v/>
      </c>
      <c r="M35">
        <f t="shared" si="5"/>
        <v>9999</v>
      </c>
    </row>
    <row r="36" spans="1:13" ht="21" customHeight="1" x14ac:dyDescent="0.4">
      <c r="A36" s="20" t="str">
        <f t="shared" si="0"/>
        <v/>
      </c>
      <c r="B36" s="81" t="str">
        <f t="shared" si="1"/>
        <v/>
      </c>
      <c r="C36" s="81" t="str">
        <f t="shared" si="2"/>
        <v/>
      </c>
      <c r="D36" s="80" t="str">
        <f t="shared" si="3"/>
        <v/>
      </c>
      <c r="E36" s="80" t="str">
        <f t="shared" si="4"/>
        <v/>
      </c>
      <c r="H36">
        <v>35</v>
      </c>
      <c r="I36" t="str">
        <f>Gruppenphase!K22</f>
        <v>4AHEL</v>
      </c>
      <c r="J36" t="str">
        <f>Gruppenphase!L22</f>
        <v>4AHITN</v>
      </c>
      <c r="K36" t="str">
        <f>IF(Gruppenphase!M22="","",Gruppenphase!M22)</f>
        <v/>
      </c>
      <c r="L36" t="str">
        <f>IF(Gruppenphase!N22="","",Gruppenphase!N22)</f>
        <v/>
      </c>
      <c r="M36">
        <f t="shared" si="5"/>
        <v>9999</v>
      </c>
    </row>
    <row r="37" spans="1:13" ht="21" customHeight="1" x14ac:dyDescent="0.4">
      <c r="A37" s="20" t="str">
        <f t="shared" si="0"/>
        <v/>
      </c>
      <c r="B37" s="81" t="str">
        <f t="shared" si="1"/>
        <v/>
      </c>
      <c r="C37" s="81" t="str">
        <f t="shared" si="2"/>
        <v/>
      </c>
      <c r="D37" s="80" t="str">
        <f t="shared" si="3"/>
        <v/>
      </c>
      <c r="E37" s="80" t="str">
        <f t="shared" si="4"/>
        <v/>
      </c>
      <c r="H37">
        <v>36</v>
      </c>
      <c r="I37" t="str">
        <f>Gruppenphase!K23</f>
        <v>3BHME</v>
      </c>
      <c r="J37" t="str">
        <f>Gruppenphase!L23</f>
        <v>4BHME</v>
      </c>
      <c r="K37" t="str">
        <f>IF(Gruppenphase!M23="","",Gruppenphase!M23)</f>
        <v/>
      </c>
      <c r="L37" t="str">
        <f>IF(Gruppenphase!N23="","",Gruppenphase!N23)</f>
        <v/>
      </c>
      <c r="M37">
        <f t="shared" si="5"/>
        <v>9999</v>
      </c>
    </row>
    <row r="38" spans="1:13" ht="21" customHeight="1" x14ac:dyDescent="0.4">
      <c r="A38" s="20" t="str">
        <f t="shared" si="0"/>
        <v/>
      </c>
      <c r="B38" s="81" t="str">
        <f t="shared" si="1"/>
        <v/>
      </c>
      <c r="C38" s="81" t="str">
        <f t="shared" si="2"/>
        <v/>
      </c>
      <c r="D38" s="80" t="str">
        <f t="shared" si="3"/>
        <v/>
      </c>
      <c r="E38" s="80" t="str">
        <f t="shared" si="4"/>
        <v/>
      </c>
      <c r="H38">
        <v>37</v>
      </c>
      <c r="I38" t="str">
        <f>Gruppenphase!K24</f>
        <v>2AFMBZ</v>
      </c>
      <c r="J38" t="str">
        <f>Gruppenphase!L24</f>
        <v>4AHEL</v>
      </c>
      <c r="K38" t="str">
        <f>IF(Gruppenphase!M24="","",Gruppenphase!M24)</f>
        <v/>
      </c>
      <c r="L38" t="str">
        <f>IF(Gruppenphase!N24="","",Gruppenphase!N24)</f>
        <v/>
      </c>
      <c r="M38">
        <f t="shared" si="5"/>
        <v>9999</v>
      </c>
    </row>
    <row r="39" spans="1:13" ht="21" customHeight="1" x14ac:dyDescent="0.4">
      <c r="A39" s="20" t="str">
        <f t="shared" si="0"/>
        <v/>
      </c>
      <c r="B39" s="81" t="str">
        <f t="shared" si="1"/>
        <v/>
      </c>
      <c r="C39" s="81" t="str">
        <f t="shared" si="2"/>
        <v/>
      </c>
      <c r="D39" s="80" t="str">
        <f t="shared" si="3"/>
        <v/>
      </c>
      <c r="E39" s="80" t="str">
        <f t="shared" si="4"/>
        <v/>
      </c>
      <c r="H39">
        <v>38</v>
      </c>
      <c r="I39" t="str">
        <f>Gruppenphase!K25</f>
        <v>3BHME</v>
      </c>
      <c r="J39" t="str">
        <f>Gruppenphase!L25</f>
        <v>4AHITN</v>
      </c>
      <c r="K39" t="str">
        <f>IF(Gruppenphase!M25="","",Gruppenphase!M25)</f>
        <v/>
      </c>
      <c r="L39" t="str">
        <f>IF(Gruppenphase!N25="","",Gruppenphase!N25)</f>
        <v/>
      </c>
      <c r="M39">
        <f t="shared" si="5"/>
        <v>9999</v>
      </c>
    </row>
    <row r="40" spans="1:13" ht="21" customHeight="1" x14ac:dyDescent="0.4">
      <c r="A40" s="20" t="str">
        <f t="shared" si="0"/>
        <v/>
      </c>
      <c r="B40" s="81" t="str">
        <f t="shared" si="1"/>
        <v/>
      </c>
      <c r="C40" s="81" t="str">
        <f t="shared" si="2"/>
        <v/>
      </c>
      <c r="D40" s="80" t="str">
        <f t="shared" si="3"/>
        <v/>
      </c>
      <c r="E40" s="80" t="str">
        <f t="shared" si="4"/>
        <v/>
      </c>
      <c r="H40">
        <v>39</v>
      </c>
      <c r="I40" t="str">
        <f>Gruppenphase!K26</f>
        <v>4BHME</v>
      </c>
      <c r="J40" t="str">
        <f>Gruppenphase!L26</f>
        <v>4AHEL</v>
      </c>
      <c r="K40" t="str">
        <f>IF(Gruppenphase!M26="","",Gruppenphase!M26)</f>
        <v/>
      </c>
      <c r="L40" t="str">
        <f>IF(Gruppenphase!N26="","",Gruppenphase!N26)</f>
        <v/>
      </c>
      <c r="M40">
        <f t="shared" si="5"/>
        <v>9999</v>
      </c>
    </row>
    <row r="41" spans="1:13" ht="21" customHeight="1" x14ac:dyDescent="0.4">
      <c r="A41" s="20" t="str">
        <f t="shared" si="0"/>
        <v/>
      </c>
      <c r="B41" s="81" t="str">
        <f t="shared" si="1"/>
        <v/>
      </c>
      <c r="C41" s="81" t="str">
        <f t="shared" si="2"/>
        <v/>
      </c>
      <c r="D41" s="80" t="str">
        <f t="shared" si="3"/>
        <v/>
      </c>
      <c r="E41" s="80" t="str">
        <f t="shared" si="4"/>
        <v/>
      </c>
      <c r="H41">
        <v>40</v>
      </c>
      <c r="I41" t="str">
        <f>Gruppenphase!K27</f>
        <v>2AFMBZ</v>
      </c>
      <c r="J41" t="str">
        <f>Gruppenphase!L27</f>
        <v>4AHITN</v>
      </c>
      <c r="K41" t="str">
        <f>IF(Gruppenphase!M27="","",Gruppenphase!M27)</f>
        <v/>
      </c>
      <c r="L41" t="str">
        <f>IF(Gruppenphase!N27="","",Gruppenphase!N27)</f>
        <v/>
      </c>
      <c r="M41">
        <f t="shared" si="5"/>
        <v>9999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Normal="100" workbookViewId="0">
      <selection activeCell="O10" sqref="O10"/>
    </sheetView>
  </sheetViews>
  <sheetFormatPr defaultColWidth="9.109375" defaultRowHeight="14.4" x14ac:dyDescent="0.3"/>
  <cols>
    <col min="1" max="1" width="13.88671875" customWidth="1"/>
    <col min="2" max="2" width="11.33203125" customWidth="1"/>
    <col min="3" max="3" width="11" customWidth="1"/>
    <col min="4" max="4" width="14" customWidth="1"/>
    <col min="5" max="5" width="17.33203125" customWidth="1"/>
    <col min="6" max="6" width="10.44140625" customWidth="1"/>
    <col min="7" max="7" width="10.5546875" customWidth="1"/>
    <col min="8" max="8" width="11.44140625" customWidth="1"/>
    <col min="9" max="9" width="10.44140625" customWidth="1"/>
    <col min="10" max="10" width="18.109375" customWidth="1"/>
    <col min="11" max="11" width="13.109375" customWidth="1"/>
    <col min="13" max="13" width="13" hidden="1" customWidth="1"/>
  </cols>
  <sheetData>
    <row r="1" spans="1:13" ht="21.75" customHeight="1" x14ac:dyDescent="0.4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7" t="s">
        <v>9</v>
      </c>
      <c r="K1" s="18"/>
      <c r="M1" t="s">
        <v>10</v>
      </c>
    </row>
    <row r="2" spans="1:13" ht="19.5" customHeight="1" x14ac:dyDescent="0.35">
      <c r="A2" s="19" t="s">
        <v>11</v>
      </c>
      <c r="B2" s="20">
        <f>COUNTIF(Spiele!B:B,A2)+COUNTIF(Spiele!C:C,A2)</f>
        <v>2</v>
      </c>
      <c r="C2" s="20">
        <f>SUMPRODUCT((Spiele!B$2:B$100=A2)*(Spiele!D$2:D$100&gt;Spiele!E$2:E$100))+SUMPRODUCT((Spiele!C$2:C$100=A2)*(Spiele!E$2:E$100&gt;Spiele!D$2:D$100))</f>
        <v>1</v>
      </c>
      <c r="D2" s="20">
        <f>SUMPRODUCT((Spiele!B$2:B$100=A2)*(Spiele!D$2:D$100=Spiele!E$2:E$100))+SUMPRODUCT((Spiele!C$2:C$100=A2)*(Spiele!D$2:D$100=Spiele!E$2:E$100))</f>
        <v>0</v>
      </c>
      <c r="E2" s="20">
        <f t="shared" ref="E2:E21" si="0">B2-C2-D2</f>
        <v>1</v>
      </c>
      <c r="F2" s="20">
        <f>SUMIF(Spiele!B:B,A2,Spiele!D:D)+SUMIF(Spiele!C:C,A2,Spiele!E:E)</f>
        <v>7</v>
      </c>
      <c r="G2" s="20">
        <f>SUMIF(Spiele!B:B,A2,Spiele!E:E)+SUMIF(Spiele!C:C,A2,Spiele!D:D)</f>
        <v>6</v>
      </c>
      <c r="H2" s="20">
        <f t="shared" ref="H2:H21" si="1">F2-G2</f>
        <v>1</v>
      </c>
      <c r="I2" s="21">
        <f t="shared" ref="I2:I21" si="2">C2*3+D2</f>
        <v>3</v>
      </c>
      <c r="J2" s="22">
        <f>IF(B2=0,"",1+ROUND(SUMPRODUCT(($M$2:$M$6&gt;M2)/COUNTIF($M$2:$M$6,$M$2:$M$6)),0))</f>
        <v>1</v>
      </c>
      <c r="K2" s="14" t="s">
        <v>12</v>
      </c>
      <c r="M2">
        <f t="shared" ref="M2:M21" si="3">IF(B2=0,-1000000000,I2*1000000+H2*1000+F2)</f>
        <v>3001007</v>
      </c>
    </row>
    <row r="3" spans="1:13" ht="18.75" customHeight="1" x14ac:dyDescent="0.35">
      <c r="A3" s="19" t="s">
        <v>13</v>
      </c>
      <c r="B3" s="20">
        <f>COUNTIF(Spiele!B:B,A3)+COUNTIF(Spiele!C:C,A3)</f>
        <v>1</v>
      </c>
      <c r="C3" s="20">
        <f>SUMPRODUCT((Spiele!B$2:B$100=A3)*(Spiele!D$2:D$100&gt;Spiele!E$2:E$100))+SUMPRODUCT((Spiele!C$2:C$100=A3)*(Spiele!E$2:E$100&gt;Spiele!D$2:D$100))</f>
        <v>0</v>
      </c>
      <c r="D3" s="20">
        <f>SUMPRODUCT((Spiele!B$2:B$100=A3)*(Spiele!D$2:D$100=Spiele!E$2:E$100))+SUMPRODUCT((Spiele!C$2:C$100=A3)*(Spiele!D$2:D$100=Spiele!E$2:E$100))</f>
        <v>0</v>
      </c>
      <c r="E3" s="20">
        <f t="shared" si="0"/>
        <v>1</v>
      </c>
      <c r="F3" s="20">
        <f>SUMIF(Spiele!B:B,A3,Spiele!D:D)+SUMIF(Spiele!C:C,A3,Spiele!E:E)</f>
        <v>3</v>
      </c>
      <c r="G3" s="20">
        <f>SUMIF(Spiele!B:B,A3,Spiele!E:E)+SUMIF(Spiele!C:C,A3,Spiele!D:D)</f>
        <v>5</v>
      </c>
      <c r="H3" s="20">
        <f t="shared" si="1"/>
        <v>-2</v>
      </c>
      <c r="I3" s="21">
        <f t="shared" si="2"/>
        <v>0</v>
      </c>
      <c r="J3" s="22">
        <f>IF(B3=0,"",1+ROUND(SUMPRODUCT(($M$2:$M$6&gt;M3)/COUNTIF($M$2:$M$6,$M$2:$M$6)),0))</f>
        <v>4</v>
      </c>
      <c r="K3" s="14"/>
      <c r="M3">
        <f t="shared" si="3"/>
        <v>-1997</v>
      </c>
    </row>
    <row r="4" spans="1:13" ht="18.75" customHeight="1" x14ac:dyDescent="0.35">
      <c r="A4" s="19" t="s">
        <v>14</v>
      </c>
      <c r="B4" s="20">
        <f>COUNTIF(Spiele!B:B,A4)+COUNTIF(Spiele!C:C,A4)</f>
        <v>1</v>
      </c>
      <c r="C4" s="20">
        <f>SUMPRODUCT((Spiele!B$2:B$100=A4)*(Spiele!D$2:D$100&gt;Spiele!E$2:E$100))+SUMPRODUCT((Spiele!C$2:C$100=A4)*(Spiele!E$2:E$100&gt;Spiele!D$2:D$100))</f>
        <v>1</v>
      </c>
      <c r="D4" s="20">
        <f>SUMPRODUCT((Spiele!B$2:B$100=A4)*(Spiele!D$2:D$100=Spiele!E$2:E$100))+SUMPRODUCT((Spiele!C$2:C$100=A4)*(Spiele!D$2:D$100=Spiele!E$2:E$100))</f>
        <v>0</v>
      </c>
      <c r="E4" s="20">
        <f t="shared" si="0"/>
        <v>0</v>
      </c>
      <c r="F4" s="20">
        <f>SUMIF(Spiele!B:B,A4,Spiele!D:D)+SUMIF(Spiele!C:C,A4,Spiele!E:E)</f>
        <v>3</v>
      </c>
      <c r="G4" s="20">
        <f>SUMIF(Spiele!B:B,A4,Spiele!E:E)+SUMIF(Spiele!C:C,A4,Spiele!D:D)</f>
        <v>2</v>
      </c>
      <c r="H4" s="20">
        <f t="shared" si="1"/>
        <v>1</v>
      </c>
      <c r="I4" s="21">
        <f t="shared" si="2"/>
        <v>3</v>
      </c>
      <c r="J4" s="22">
        <f>IF(B4=0,"",1+ROUND(SUMPRODUCT(($M$2:$M$6&gt;M4)/COUNTIF($M$2:$M$6,$M$2:$M$6)),0))</f>
        <v>2</v>
      </c>
      <c r="K4" s="14"/>
      <c r="M4">
        <f t="shared" si="3"/>
        <v>3001003</v>
      </c>
    </row>
    <row r="5" spans="1:13" ht="18.75" customHeight="1" x14ac:dyDescent="0.35">
      <c r="A5" s="19" t="s">
        <v>15</v>
      </c>
      <c r="B5" s="20">
        <f>COUNTIF(Spiele!B:B,A5)+COUNTIF(Spiele!C:C,A5)</f>
        <v>1</v>
      </c>
      <c r="C5" s="20">
        <f>SUMPRODUCT((Spiele!B$2:B$100=A5)*(Spiele!D$2:D$100&gt;Spiele!E$2:E$100))+SUMPRODUCT((Spiele!C$2:C$100=A5)*(Spiele!E$2:E$100&gt;Spiele!D$2:D$100))</f>
        <v>1</v>
      </c>
      <c r="D5" s="20">
        <f>SUMPRODUCT((Spiele!B$2:B$100=A5)*(Spiele!D$2:D$100=Spiele!E$2:E$100))+SUMPRODUCT((Spiele!C$2:C$100=A5)*(Spiele!D$2:D$100=Spiele!E$2:E$100))</f>
        <v>0</v>
      </c>
      <c r="E5" s="20">
        <f t="shared" si="0"/>
        <v>0</v>
      </c>
      <c r="F5" s="20">
        <f>SUMIF(Spiele!B:B,A5,Spiele!D:D)+SUMIF(Spiele!C:C,A5,Spiele!E:E)</f>
        <v>3</v>
      </c>
      <c r="G5" s="20">
        <f>SUMIF(Spiele!B:B,A5,Spiele!E:E)+SUMIF(Spiele!C:C,A5,Spiele!D:D)</f>
        <v>2</v>
      </c>
      <c r="H5" s="20">
        <f t="shared" si="1"/>
        <v>1</v>
      </c>
      <c r="I5" s="21">
        <f t="shared" si="2"/>
        <v>3</v>
      </c>
      <c r="J5" s="22">
        <f>IF(B5=0,"",1+ROUND(SUMPRODUCT(($M$2:$M$6&gt;M5)/COUNTIF($M$2:$M$6,$M$2:$M$6)),0))</f>
        <v>2</v>
      </c>
      <c r="K5" s="14"/>
      <c r="M5">
        <f t="shared" si="3"/>
        <v>3001003</v>
      </c>
    </row>
    <row r="6" spans="1:13" ht="19.5" customHeight="1" x14ac:dyDescent="0.35">
      <c r="A6" s="23" t="s">
        <v>16</v>
      </c>
      <c r="B6" s="24">
        <f>COUNTIF(Spiele!B:B,A6)+COUNTIF(Spiele!C:C,A6)</f>
        <v>1</v>
      </c>
      <c r="C6" s="24">
        <f>SUMPRODUCT((Spiele!B$2:B$100=A6)*(Spiele!D$2:D$100&gt;Spiele!E$2:E$100))+SUMPRODUCT((Spiele!C$2:C$100=A6)*(Spiele!E$2:E$100&gt;Spiele!D$2:D$100))</f>
        <v>0</v>
      </c>
      <c r="D6" s="24">
        <f>SUMPRODUCT((Spiele!B$2:B$100=A6)*(Spiele!D$2:D$100=Spiele!E$2:E$100))+SUMPRODUCT((Spiele!C$2:C$100=A6)*(Spiele!D$2:D$100=Spiele!E$2:E$100))</f>
        <v>0</v>
      </c>
      <c r="E6" s="24">
        <f t="shared" si="0"/>
        <v>1</v>
      </c>
      <c r="F6" s="24">
        <f>SUMIF(Spiele!B:B,A6,Spiele!D:D)+SUMIF(Spiele!C:C,A6,Spiele!E:E)</f>
        <v>2</v>
      </c>
      <c r="G6" s="24">
        <f>SUMIF(Spiele!B:B,A6,Spiele!E:E)+SUMIF(Spiele!C:C,A6,Spiele!D:D)</f>
        <v>3</v>
      </c>
      <c r="H6" s="24">
        <f t="shared" si="1"/>
        <v>-1</v>
      </c>
      <c r="I6" s="25">
        <f t="shared" si="2"/>
        <v>0</v>
      </c>
      <c r="J6" s="26">
        <f>IF(B6=0,"",1+ROUND(SUMPRODUCT(($M$2:$M$6&gt;M6)/COUNTIF($M$2:$M$6,$M$2:$M$6)),0))</f>
        <v>3</v>
      </c>
      <c r="K6" s="14"/>
      <c r="M6">
        <f t="shared" si="3"/>
        <v>-998</v>
      </c>
    </row>
    <row r="7" spans="1:13" ht="19.5" customHeight="1" x14ac:dyDescent="0.3">
      <c r="A7" s="27" t="s">
        <v>17</v>
      </c>
      <c r="B7" s="20">
        <f>COUNTIF(Spiele!B:B,A7)+COUNTIF(Spiele!C:C,A7)</f>
        <v>1</v>
      </c>
      <c r="C7" s="20">
        <f>SUMPRODUCT((Spiele!B$2:B$100=A7)*(Spiele!D$2:D$100&gt;Spiele!E$2:E$100))+SUMPRODUCT((Spiele!C$2:C$100=A7)*(Spiele!E$2:E$100&gt;Spiele!D$2:D$100))</f>
        <v>0</v>
      </c>
      <c r="D7" s="20">
        <f>SUMPRODUCT((Spiele!B$2:B$100=A7)*(Spiele!D$2:D$100=Spiele!E$2:E$100))+SUMPRODUCT((Spiele!C$2:C$100=A7)*(Spiele!D$2:D$100=Spiele!E$2:E$100))</f>
        <v>0</v>
      </c>
      <c r="E7" s="20">
        <f t="shared" si="0"/>
        <v>1</v>
      </c>
      <c r="F7" s="20">
        <f>SUMIF(Spiele!B:B,A7,Spiele!D:D)+SUMIF(Spiele!C:C,A7,Spiele!E:E)</f>
        <v>1</v>
      </c>
      <c r="G7" s="20">
        <f>SUMIF(Spiele!B:B,A7,Spiele!E:E)+SUMIF(Spiele!C:C,A7,Spiele!D:D)</f>
        <v>2</v>
      </c>
      <c r="H7" s="20">
        <f t="shared" si="1"/>
        <v>-1</v>
      </c>
      <c r="I7" s="21">
        <f t="shared" si="2"/>
        <v>0</v>
      </c>
      <c r="J7" s="22">
        <f>IF(B7=0,"",1+ROUND(SUMPRODUCT(($M$7:$M$11&gt;M7)/COUNTIF($M$7:$M$11,$M$7:$M$11)),0))</f>
        <v>3</v>
      </c>
      <c r="K7" s="14" t="s">
        <v>18</v>
      </c>
      <c r="M7">
        <f t="shared" si="3"/>
        <v>-999</v>
      </c>
    </row>
    <row r="8" spans="1:13" ht="18.75" customHeight="1" x14ac:dyDescent="0.3">
      <c r="A8" s="27" t="s">
        <v>19</v>
      </c>
      <c r="B8" s="20">
        <f>COUNTIF(Spiele!B:B,A8)+COUNTIF(Spiele!C:C,A8)</f>
        <v>1</v>
      </c>
      <c r="C8" s="20">
        <f>SUMPRODUCT((Spiele!B$2:B$100=A8)*(Spiele!D$2:D$100&gt;Spiele!E$2:E$100))+SUMPRODUCT((Spiele!C$2:C$100=A8)*(Spiele!E$2:E$100&gt;Spiele!D$2:D$100))</f>
        <v>1</v>
      </c>
      <c r="D8" s="20">
        <f>SUMPRODUCT((Spiele!B$2:B$100=A8)*(Spiele!D$2:D$100=Spiele!E$2:E$100))+SUMPRODUCT((Spiele!C$2:C$100=A8)*(Spiele!D$2:D$100=Spiele!E$2:E$100))</f>
        <v>0</v>
      </c>
      <c r="E8" s="20">
        <f t="shared" si="0"/>
        <v>0</v>
      </c>
      <c r="F8" s="20">
        <f>SUMIF(Spiele!B:B,A8,Spiele!D:D)+SUMIF(Spiele!C:C,A8,Spiele!E:E)</f>
        <v>2</v>
      </c>
      <c r="G8" s="20">
        <f>SUMIF(Spiele!B:B,A8,Spiele!E:E)+SUMIF(Spiele!C:C,A8,Spiele!D:D)</f>
        <v>1</v>
      </c>
      <c r="H8" s="20">
        <f t="shared" si="1"/>
        <v>1</v>
      </c>
      <c r="I8" s="21">
        <f t="shared" si="2"/>
        <v>3</v>
      </c>
      <c r="J8" s="22">
        <f>IF(B8=0,"",1+ROUND(SUMPRODUCT(($M$7:$M$11&gt;M8)/COUNTIF($M$7:$M$11,$M$7:$M$11)),0))</f>
        <v>2</v>
      </c>
      <c r="K8" s="14"/>
      <c r="M8">
        <f t="shared" si="3"/>
        <v>3001002</v>
      </c>
    </row>
    <row r="9" spans="1:13" ht="18.75" customHeight="1" x14ac:dyDescent="0.3">
      <c r="A9" s="27" t="s">
        <v>20</v>
      </c>
      <c r="B9" s="20">
        <f>COUNTIF(Spiele!B:B,A9)+COUNTIF(Spiele!C:C,A9)</f>
        <v>1</v>
      </c>
      <c r="C9" s="20">
        <f>SUMPRODUCT((Spiele!B$2:B$100=A9)*(Spiele!D$2:D$100&gt;Spiele!E$2:E$100))+SUMPRODUCT((Spiele!C$2:C$100=A9)*(Spiele!E$2:E$100&gt;Spiele!D$2:D$100))</f>
        <v>1</v>
      </c>
      <c r="D9" s="20">
        <f>SUMPRODUCT((Spiele!B$2:B$100=A9)*(Spiele!D$2:D$100=Spiele!E$2:E$100))+SUMPRODUCT((Spiele!C$2:C$100=A9)*(Spiele!D$2:D$100=Spiele!E$2:E$100))</f>
        <v>0</v>
      </c>
      <c r="E9" s="20">
        <f t="shared" si="0"/>
        <v>0</v>
      </c>
      <c r="F9" s="20">
        <f>SUMIF(Spiele!B:B,A9,Spiele!D:D)+SUMIF(Spiele!C:C,A9,Spiele!E:E)</f>
        <v>6</v>
      </c>
      <c r="G9" s="20">
        <f>SUMIF(Spiele!B:B,A9,Spiele!E:E)+SUMIF(Spiele!C:C,A9,Spiele!D:D)</f>
        <v>1</v>
      </c>
      <c r="H9" s="20">
        <f t="shared" si="1"/>
        <v>5</v>
      </c>
      <c r="I9" s="21">
        <f t="shared" si="2"/>
        <v>3</v>
      </c>
      <c r="J9" s="22">
        <f>IF(B9=0,"",1+ROUND(SUMPRODUCT(($M$7:$M$11&gt;M9)/COUNTIF($M$7:$M$11,$M$7:$M$11)),0))</f>
        <v>1</v>
      </c>
      <c r="K9" s="14"/>
      <c r="M9">
        <f t="shared" si="3"/>
        <v>3005006</v>
      </c>
    </row>
    <row r="10" spans="1:13" ht="18.75" customHeight="1" x14ac:dyDescent="0.3">
      <c r="A10" s="27" t="s">
        <v>21</v>
      </c>
      <c r="B10" s="20">
        <f>COUNTIF(Spiele!B:B,A10)+COUNTIF(Spiele!C:C,A10)</f>
        <v>1</v>
      </c>
      <c r="C10" s="20">
        <f>SUMPRODUCT((Spiele!B$2:B$100=A10)*(Spiele!D$2:D$100&gt;Spiele!E$2:E$100))+SUMPRODUCT((Spiele!C$2:C$100=A10)*(Spiele!E$2:E$100&gt;Spiele!D$2:D$100))</f>
        <v>0</v>
      </c>
      <c r="D10" s="20">
        <f>SUMPRODUCT((Spiele!B$2:B$100=A10)*(Spiele!D$2:D$100=Spiele!E$2:E$100))+SUMPRODUCT((Spiele!C$2:C$100=A10)*(Spiele!D$2:D$100=Spiele!E$2:E$100))</f>
        <v>0</v>
      </c>
      <c r="E10" s="20">
        <f t="shared" si="0"/>
        <v>1</v>
      </c>
      <c r="F10" s="20">
        <f>SUMIF(Spiele!B:B,A10,Spiele!D:D)+SUMIF(Spiele!C:C,A10,Spiele!E:E)</f>
        <v>1</v>
      </c>
      <c r="G10" s="20">
        <f>SUMIF(Spiele!B:B,A10,Spiele!E:E)+SUMIF(Spiele!C:C,A10,Spiele!D:D)</f>
        <v>6</v>
      </c>
      <c r="H10" s="20">
        <f t="shared" si="1"/>
        <v>-5</v>
      </c>
      <c r="I10" s="21">
        <f t="shared" si="2"/>
        <v>0</v>
      </c>
      <c r="J10" s="22">
        <f>IF(B10=0,"",1+ROUND(SUMPRODUCT(($M$7:$M$11&gt;M10)/COUNTIF($M$7:$M$11,$M$7:$M$11)),0))</f>
        <v>4</v>
      </c>
      <c r="K10" s="14"/>
      <c r="M10">
        <f t="shared" si="3"/>
        <v>-4999</v>
      </c>
    </row>
    <row r="11" spans="1:13" ht="19.5" customHeight="1" x14ac:dyDescent="0.3">
      <c r="A11" s="28" t="s">
        <v>22</v>
      </c>
      <c r="B11" s="24">
        <f>COUNTIF(Spiele!B:B,A11)+COUNTIF(Spiele!C:C,A11)</f>
        <v>0</v>
      </c>
      <c r="C11" s="24">
        <f>SUMPRODUCT((Spiele!B$2:B$100=A11)*(Spiele!D$2:D$100&gt;Spiele!E$2:E$100))+SUMPRODUCT((Spiele!C$2:C$100=A11)*(Spiele!E$2:E$100&gt;Spiele!D$2:D$100))</f>
        <v>0</v>
      </c>
      <c r="D11" s="24">
        <f>SUMPRODUCT((Spiele!B$2:B$100=A11)*(Spiele!D$2:D$100=Spiele!E$2:E$100))+SUMPRODUCT((Spiele!C$2:C$100=A11)*(Spiele!D$2:D$100=Spiele!E$2:E$100))</f>
        <v>0</v>
      </c>
      <c r="E11" s="24">
        <f t="shared" si="0"/>
        <v>0</v>
      </c>
      <c r="F11" s="24">
        <f>SUMIF(Spiele!B:B,A11,Spiele!D:D)+SUMIF(Spiele!C:C,A11,Spiele!E:E)</f>
        <v>0</v>
      </c>
      <c r="G11" s="24">
        <f>SUMIF(Spiele!B:B,A11,Spiele!E:E)+SUMIF(Spiele!C:C,A11,Spiele!D:D)</f>
        <v>0</v>
      </c>
      <c r="H11" s="24">
        <f t="shared" si="1"/>
        <v>0</v>
      </c>
      <c r="I11" s="25">
        <f t="shared" si="2"/>
        <v>0</v>
      </c>
      <c r="J11" s="26" t="str">
        <f>IF(B11=0,"",1+ROUND(SUMPRODUCT(($M$7:$M$11&gt;M11)/COUNTIF($M$7:$M$11,$M$7:$M$11)),0))</f>
        <v/>
      </c>
      <c r="K11" s="14"/>
      <c r="M11">
        <f t="shared" si="3"/>
        <v>-1000000000</v>
      </c>
    </row>
    <row r="12" spans="1:13" ht="19.5" customHeight="1" x14ac:dyDescent="0.3">
      <c r="A12" s="27" t="s">
        <v>23</v>
      </c>
      <c r="B12" s="20">
        <f>COUNTIF(Spiele!B:B,A12)+COUNTIF(Spiele!C:C,A12)</f>
        <v>1</v>
      </c>
      <c r="C12" s="20">
        <f>SUMPRODUCT((Spiele!B$2:B$100=A12)*(Spiele!D$2:D$100&gt;Spiele!E$2:E$100))+SUMPRODUCT((Spiele!C$2:C$100=A12)*(Spiele!E$2:E$100&gt;Spiele!D$2:D$100))</f>
        <v>1</v>
      </c>
      <c r="D12" s="20">
        <f>SUMPRODUCT((Spiele!B$2:B$100=A12)*(Spiele!D$2:D$100=Spiele!E$2:E$100))+SUMPRODUCT((Spiele!C$2:C$100=A12)*(Spiele!D$2:D$100=Spiele!E$2:E$100))</f>
        <v>0</v>
      </c>
      <c r="E12" s="20">
        <f t="shared" si="0"/>
        <v>0</v>
      </c>
      <c r="F12" s="20">
        <f>SUMIF(Spiele!B:B,A12,Spiele!D:D)+SUMIF(Spiele!C:C,A12,Spiele!E:E)</f>
        <v>4</v>
      </c>
      <c r="G12" s="20">
        <f>SUMIF(Spiele!B:B,A12,Spiele!E:E)+SUMIF(Spiele!C:C,A12,Spiele!D:D)</f>
        <v>1</v>
      </c>
      <c r="H12" s="20">
        <f t="shared" si="1"/>
        <v>3</v>
      </c>
      <c r="I12" s="21">
        <f t="shared" si="2"/>
        <v>3</v>
      </c>
      <c r="J12" s="22">
        <f>IF(B12=0,"",1+ROUND(SUMPRODUCT(($M$12:$M$16&gt;M12)/COUNTIF($M$12:$M$16,$M$12:$M$16)),0))</f>
        <v>1</v>
      </c>
      <c r="K12" s="14" t="s">
        <v>24</v>
      </c>
      <c r="M12">
        <f t="shared" si="3"/>
        <v>3003004</v>
      </c>
    </row>
    <row r="13" spans="1:13" ht="18.75" customHeight="1" x14ac:dyDescent="0.3">
      <c r="A13" s="27" t="s">
        <v>25</v>
      </c>
      <c r="B13" s="20">
        <f>COUNTIF(Spiele!B:B,A13)+COUNTIF(Spiele!C:C,A13)</f>
        <v>1</v>
      </c>
      <c r="C13" s="20">
        <f>SUMPRODUCT((Spiele!B$2:B$100=A13)*(Spiele!D$2:D$100&gt;Spiele!E$2:E$100))+SUMPRODUCT((Spiele!C$2:C$100=A13)*(Spiele!E$2:E$100&gt;Spiele!D$2:D$100))</f>
        <v>0</v>
      </c>
      <c r="D13" s="20">
        <f>SUMPRODUCT((Spiele!B$2:B$100=A13)*(Spiele!D$2:D$100=Spiele!E$2:E$100))+SUMPRODUCT((Spiele!C$2:C$100=A13)*(Spiele!D$2:D$100=Spiele!E$2:E$100))</f>
        <v>0</v>
      </c>
      <c r="E13" s="20">
        <f t="shared" si="0"/>
        <v>1</v>
      </c>
      <c r="F13" s="20">
        <f>SUMIF(Spiele!B:B,A13,Spiele!D:D)+SUMIF(Spiele!C:C,A13,Spiele!E:E)</f>
        <v>1</v>
      </c>
      <c r="G13" s="20">
        <f>SUMIF(Spiele!B:B,A13,Spiele!E:E)+SUMIF(Spiele!C:C,A13,Spiele!D:D)</f>
        <v>4</v>
      </c>
      <c r="H13" s="20">
        <f t="shared" si="1"/>
        <v>-3</v>
      </c>
      <c r="I13" s="21">
        <f t="shared" si="2"/>
        <v>0</v>
      </c>
      <c r="J13" s="22">
        <f>IF(B13=0,"",1+ROUND(SUMPRODUCT(($M$12:$M$16&gt;M13)/COUNTIF($M$12:$M$16,$M$12:$M$16)),0))</f>
        <v>2</v>
      </c>
      <c r="K13" s="14"/>
      <c r="M13">
        <f t="shared" si="3"/>
        <v>-2999</v>
      </c>
    </row>
    <row r="14" spans="1:13" ht="18.75" customHeight="1" x14ac:dyDescent="0.3">
      <c r="A14" s="27" t="s">
        <v>26</v>
      </c>
      <c r="B14" s="20">
        <f>COUNTIF(Spiele!B:B,A14)+COUNTIF(Spiele!C:C,A14)</f>
        <v>1</v>
      </c>
      <c r="C14" s="20">
        <f>SUMPRODUCT((Spiele!B$2:B$100=A14)*(Spiele!D$2:D$100&gt;Spiele!E$2:E$100))+SUMPRODUCT((Spiele!C$2:C$100=A14)*(Spiele!E$2:E$100&gt;Spiele!D$2:D$100))</f>
        <v>1</v>
      </c>
      <c r="D14" s="20">
        <f>SUMPRODUCT((Spiele!B$2:B$100=A14)*(Spiele!D$2:D$100=Spiele!E$2:E$100))+SUMPRODUCT((Spiele!C$2:C$100=A14)*(Spiele!D$2:D$100=Spiele!E$2:E$100))</f>
        <v>0</v>
      </c>
      <c r="E14" s="20">
        <f t="shared" si="0"/>
        <v>0</v>
      </c>
      <c r="F14" s="20">
        <f>SUMIF(Spiele!B:B,A14,Spiele!D:D)+SUMIF(Spiele!C:C,A14,Spiele!E:E)</f>
        <v>4</v>
      </c>
      <c r="G14" s="20">
        <f>SUMIF(Spiele!B:B,A14,Spiele!E:E)+SUMIF(Spiele!C:C,A14,Spiele!D:D)</f>
        <v>1</v>
      </c>
      <c r="H14" s="20">
        <f t="shared" si="1"/>
        <v>3</v>
      </c>
      <c r="I14" s="21">
        <f t="shared" si="2"/>
        <v>3</v>
      </c>
      <c r="J14" s="22">
        <f>IF(B14=0,"",1+ROUND(SUMPRODUCT(($M$12:$M$16&gt;M14)/COUNTIF($M$12:$M$16,$M$12:$M$16)),0))</f>
        <v>1</v>
      </c>
      <c r="K14" s="14"/>
      <c r="M14">
        <f t="shared" si="3"/>
        <v>3003004</v>
      </c>
    </row>
    <row r="15" spans="1:13" ht="18.75" customHeight="1" x14ac:dyDescent="0.3">
      <c r="A15" s="27" t="s">
        <v>27</v>
      </c>
      <c r="B15" s="20">
        <f>COUNTIF(Spiele!B:B,A15)+COUNTIF(Spiele!C:C,A15)</f>
        <v>1</v>
      </c>
      <c r="C15" s="20">
        <f>SUMPRODUCT((Spiele!B$2:B$100=A15)*(Spiele!D$2:D$100&gt;Spiele!E$2:E$100))+SUMPRODUCT((Spiele!C$2:C$100=A15)*(Spiele!E$2:E$100&gt;Spiele!D$2:D$100))</f>
        <v>0</v>
      </c>
      <c r="D15" s="20">
        <f>SUMPRODUCT((Spiele!B$2:B$100=A15)*(Spiele!D$2:D$100=Spiele!E$2:E$100))+SUMPRODUCT((Spiele!C$2:C$100=A15)*(Spiele!D$2:D$100=Spiele!E$2:E$100))</f>
        <v>0</v>
      </c>
      <c r="E15" s="20">
        <f t="shared" si="0"/>
        <v>1</v>
      </c>
      <c r="F15" s="20">
        <f>SUMIF(Spiele!B:B,A15,Spiele!D:D)+SUMIF(Spiele!C:C,A15,Spiele!E:E)</f>
        <v>1</v>
      </c>
      <c r="G15" s="20">
        <f>SUMIF(Spiele!B:B,A15,Spiele!E:E)+SUMIF(Spiele!C:C,A15,Spiele!D:D)</f>
        <v>4</v>
      </c>
      <c r="H15" s="20">
        <f t="shared" si="1"/>
        <v>-3</v>
      </c>
      <c r="I15" s="21">
        <f t="shared" si="2"/>
        <v>0</v>
      </c>
      <c r="J15" s="22">
        <f>IF(B15=0,"",1+ROUND(SUMPRODUCT(($M$12:$M$16&gt;M15)/COUNTIF($M$12:$M$16,$M$12:$M$16)),0))</f>
        <v>2</v>
      </c>
      <c r="K15" s="14"/>
      <c r="M15">
        <f t="shared" si="3"/>
        <v>-2999</v>
      </c>
    </row>
    <row r="16" spans="1:13" ht="19.5" customHeight="1" x14ac:dyDescent="0.3">
      <c r="A16" s="28" t="s">
        <v>28</v>
      </c>
      <c r="B16" s="24">
        <f>COUNTIF(Spiele!B:B,A16)+COUNTIF(Spiele!C:C,A16)</f>
        <v>0</v>
      </c>
      <c r="C16" s="24">
        <f>SUMPRODUCT((Spiele!B$2:B$100=A16)*(Spiele!D$2:D$100&gt;Spiele!E$2:E$100))+SUMPRODUCT((Spiele!C$2:C$100=A16)*(Spiele!E$2:E$100&gt;Spiele!D$2:D$100))</f>
        <v>0</v>
      </c>
      <c r="D16" s="24">
        <f>SUMPRODUCT((Spiele!B$2:B$100=A16)*(Spiele!D$2:D$100=Spiele!E$2:E$100))+SUMPRODUCT((Spiele!C$2:C$100=A16)*(Spiele!D$2:D$100=Spiele!E$2:E$100))</f>
        <v>0</v>
      </c>
      <c r="E16" s="24">
        <f t="shared" si="0"/>
        <v>0</v>
      </c>
      <c r="F16" s="24">
        <f>SUMIF(Spiele!B:B,A16,Spiele!D:D)+SUMIF(Spiele!C:C,A16,Spiele!E:E)</f>
        <v>0</v>
      </c>
      <c r="G16" s="24">
        <f>SUMIF(Spiele!B:B,A16,Spiele!E:E)+SUMIF(Spiele!C:C,A16,Spiele!D:D)</f>
        <v>0</v>
      </c>
      <c r="H16" s="24">
        <f t="shared" si="1"/>
        <v>0</v>
      </c>
      <c r="I16" s="25">
        <f t="shared" si="2"/>
        <v>0</v>
      </c>
      <c r="J16" s="26" t="str">
        <f>IF(B16=0,"",1+ROUND(SUMPRODUCT(($M$12:$M$16&gt;M16)/COUNTIF($M$12:$M$16,$M$12:$M$16)),0))</f>
        <v/>
      </c>
      <c r="K16" s="14"/>
      <c r="M16">
        <f t="shared" si="3"/>
        <v>-1000000000</v>
      </c>
    </row>
    <row r="17" spans="1:13" ht="19.5" customHeight="1" x14ac:dyDescent="0.3">
      <c r="A17" s="27" t="s">
        <v>29</v>
      </c>
      <c r="B17" s="20">
        <f>COUNTIF(Spiele!B:B,A17)+COUNTIF(Spiele!C:C,A17)</f>
        <v>1</v>
      </c>
      <c r="C17" s="20">
        <f>SUMPRODUCT((Spiele!B$2:B$100=A17)*(Spiele!D$2:D$100&gt;Spiele!E$2:E$100))+SUMPRODUCT((Spiele!C$2:C$100=A17)*(Spiele!E$2:E$100&gt;Spiele!D$2:D$100))</f>
        <v>0</v>
      </c>
      <c r="D17" s="20">
        <f>SUMPRODUCT((Spiele!B$2:B$100=A17)*(Spiele!D$2:D$100=Spiele!E$2:E$100))+SUMPRODUCT((Spiele!C$2:C$100=A17)*(Spiele!D$2:D$100=Spiele!E$2:E$100))</f>
        <v>0</v>
      </c>
      <c r="E17" s="20">
        <f t="shared" si="0"/>
        <v>1</v>
      </c>
      <c r="F17" s="20">
        <f>SUMIF(Spiele!B:B,A17,Spiele!D:D)+SUMIF(Spiele!C:C,A17,Spiele!E:E)</f>
        <v>3</v>
      </c>
      <c r="G17" s="20">
        <f>SUMIF(Spiele!B:B,A17,Spiele!E:E)+SUMIF(Spiele!C:C,A17,Spiele!D:D)</f>
        <v>4</v>
      </c>
      <c r="H17" s="20">
        <f t="shared" si="1"/>
        <v>-1</v>
      </c>
      <c r="I17" s="21">
        <f t="shared" si="2"/>
        <v>0</v>
      </c>
      <c r="J17" s="22">
        <f>IF(B17=0,"",1+ROUND(SUMPRODUCT(($M$17:$M$21&gt;M17)/COUNTIF($M$17:$M$21,$M$17:$M$21)),0))</f>
        <v>3</v>
      </c>
      <c r="K17" s="13" t="s">
        <v>30</v>
      </c>
      <c r="M17">
        <f t="shared" si="3"/>
        <v>-997</v>
      </c>
    </row>
    <row r="18" spans="1:13" ht="18.75" customHeight="1" x14ac:dyDescent="0.3">
      <c r="A18" s="27" t="s">
        <v>31</v>
      </c>
      <c r="B18" s="20">
        <f>COUNTIF(Spiele!B:B,A18)+COUNTIF(Spiele!C:C,A18)</f>
        <v>1</v>
      </c>
      <c r="C18" s="20">
        <f>SUMPRODUCT((Spiele!B$2:B$100=A18)*(Spiele!D$2:D$100&gt;Spiele!E$2:E$100))+SUMPRODUCT((Spiele!C$2:C$100=A18)*(Spiele!E$2:E$100&gt;Spiele!D$2:D$100))</f>
        <v>1</v>
      </c>
      <c r="D18" s="20">
        <f>SUMPRODUCT((Spiele!B$2:B$100=A18)*(Spiele!D$2:D$100=Spiele!E$2:E$100))+SUMPRODUCT((Spiele!C$2:C$100=A18)*(Spiele!D$2:D$100=Spiele!E$2:E$100))</f>
        <v>0</v>
      </c>
      <c r="E18" s="20">
        <f t="shared" si="0"/>
        <v>0</v>
      </c>
      <c r="F18" s="20">
        <f>SUMIF(Spiele!B:B,A18,Spiele!D:D)+SUMIF(Spiele!C:C,A18,Spiele!E:E)</f>
        <v>4</v>
      </c>
      <c r="G18" s="20">
        <f>SUMIF(Spiele!B:B,A18,Spiele!E:E)+SUMIF(Spiele!C:C,A18,Spiele!D:D)</f>
        <v>3</v>
      </c>
      <c r="H18" s="20">
        <f t="shared" si="1"/>
        <v>1</v>
      </c>
      <c r="I18" s="21">
        <f t="shared" si="2"/>
        <v>3</v>
      </c>
      <c r="J18" s="22">
        <f>IF(B18=0,"",1+ROUND(SUMPRODUCT(($M$17:$M$21&gt;M18)/COUNTIF($M$17:$M$21,$M$17:$M$21)),0))</f>
        <v>1</v>
      </c>
      <c r="K18" s="13"/>
      <c r="M18">
        <f t="shared" si="3"/>
        <v>3001004</v>
      </c>
    </row>
    <row r="19" spans="1:13" ht="18.75" customHeight="1" x14ac:dyDescent="0.3">
      <c r="A19" s="27" t="s">
        <v>32</v>
      </c>
      <c r="B19" s="20">
        <f>COUNTIF(Spiele!B:B,A19)+COUNTIF(Spiele!C:C,A19)</f>
        <v>1</v>
      </c>
      <c r="C19" s="20">
        <f>SUMPRODUCT((Spiele!B$2:B$100=A19)*(Spiele!D$2:D$100&gt;Spiele!E$2:E$100))+SUMPRODUCT((Spiele!C$2:C$100=A19)*(Spiele!E$2:E$100&gt;Spiele!D$2:D$100))</f>
        <v>0</v>
      </c>
      <c r="D19" s="20">
        <f>SUMPRODUCT((Spiele!B$2:B$100=A19)*(Spiele!D$2:D$100=Spiele!E$2:E$100))+SUMPRODUCT((Spiele!C$2:C$100=A19)*(Spiele!D$2:D$100=Spiele!E$2:E$100))</f>
        <v>1</v>
      </c>
      <c r="E19" s="20">
        <f t="shared" si="0"/>
        <v>0</v>
      </c>
      <c r="F19" s="20">
        <f>SUMIF(Spiele!B:B,A19,Spiele!D:D)+SUMIF(Spiele!C:C,A19,Spiele!E:E)</f>
        <v>1</v>
      </c>
      <c r="G19" s="20">
        <f>SUMIF(Spiele!B:B,A19,Spiele!E:E)+SUMIF(Spiele!C:C,A19,Spiele!D:D)</f>
        <v>1</v>
      </c>
      <c r="H19" s="20">
        <f t="shared" si="1"/>
        <v>0</v>
      </c>
      <c r="I19" s="21">
        <f t="shared" si="2"/>
        <v>1</v>
      </c>
      <c r="J19" s="22">
        <f>IF(B19=0,"",1+ROUND(SUMPRODUCT(($M$17:$M$21&gt;M19)/COUNTIF($M$17:$M$21,$M$17:$M$21)),0))</f>
        <v>2</v>
      </c>
      <c r="K19" s="13"/>
      <c r="M19">
        <f t="shared" si="3"/>
        <v>1000001</v>
      </c>
    </row>
    <row r="20" spans="1:13" ht="18.75" customHeight="1" x14ac:dyDescent="0.3">
      <c r="A20" s="27" t="s">
        <v>33</v>
      </c>
      <c r="B20" s="20">
        <f>COUNTIF(Spiele!B:B,A20)+COUNTIF(Spiele!C:C,A20)</f>
        <v>1</v>
      </c>
      <c r="C20" s="20">
        <f>SUMPRODUCT((Spiele!B$2:B$100=A20)*(Spiele!D$2:D$100&gt;Spiele!E$2:E$100))+SUMPRODUCT((Spiele!C$2:C$100=A20)*(Spiele!E$2:E$100&gt;Spiele!D$2:D$100))</f>
        <v>0</v>
      </c>
      <c r="D20" s="20">
        <f>SUMPRODUCT((Spiele!B$2:B$100=A20)*(Spiele!D$2:D$100=Spiele!E$2:E$100))+SUMPRODUCT((Spiele!C$2:C$100=A20)*(Spiele!D$2:D$100=Spiele!E$2:E$100))</f>
        <v>1</v>
      </c>
      <c r="E20" s="20">
        <f t="shared" si="0"/>
        <v>0</v>
      </c>
      <c r="F20" s="20">
        <f>SUMIF(Spiele!B:B,A20,Spiele!D:D)+SUMIF(Spiele!C:C,A20,Spiele!E:E)</f>
        <v>1</v>
      </c>
      <c r="G20" s="20">
        <f>SUMIF(Spiele!B:B,A20,Spiele!E:E)+SUMIF(Spiele!C:C,A20,Spiele!D:D)</f>
        <v>1</v>
      </c>
      <c r="H20" s="20">
        <f t="shared" si="1"/>
        <v>0</v>
      </c>
      <c r="I20" s="21">
        <f t="shared" si="2"/>
        <v>1</v>
      </c>
      <c r="J20" s="22">
        <f>IF(B20=0,"",1+ROUND(SUMPRODUCT(($M$17:$M$21&gt;M20)/COUNTIF($M$17:$M$21,$M$17:$M$21)),0))</f>
        <v>2</v>
      </c>
      <c r="K20" s="13"/>
      <c r="M20">
        <f t="shared" si="3"/>
        <v>1000001</v>
      </c>
    </row>
    <row r="21" spans="1:13" ht="18.75" customHeight="1" x14ac:dyDescent="0.3">
      <c r="A21" s="27" t="s">
        <v>34</v>
      </c>
      <c r="B21" s="20">
        <f>COUNTIF(Spiele!B:B,A21)+COUNTIF(Spiele!C:C,A21)</f>
        <v>0</v>
      </c>
      <c r="C21" s="20">
        <f>SUMPRODUCT((Spiele!B$2:B$100=A21)*(Spiele!D$2:D$100&gt;Spiele!E$2:E$100))+SUMPRODUCT((Spiele!C$2:C$100=A21)*(Spiele!E$2:E$100&gt;Spiele!D$2:D$100))</f>
        <v>0</v>
      </c>
      <c r="D21" s="20">
        <f>SUMPRODUCT((Spiele!B$2:B$100=A21)*(Spiele!D$2:D$100=Spiele!E$2:E$100))+SUMPRODUCT((Spiele!C$2:C$100=A21)*(Spiele!D$2:D$100=Spiele!E$2:E$100))</f>
        <v>0</v>
      </c>
      <c r="E21" s="20">
        <f t="shared" si="0"/>
        <v>0</v>
      </c>
      <c r="F21" s="20">
        <f>SUMIF(Spiele!B:B,A21,Spiele!D:D)+SUMIF(Spiele!C:C,A21,Spiele!E:E)</f>
        <v>0</v>
      </c>
      <c r="G21" s="20">
        <f>SUMIF(Spiele!B:B,A21,Spiele!E:E)+SUMIF(Spiele!C:C,A21,Spiele!D:D)</f>
        <v>0</v>
      </c>
      <c r="H21" s="20">
        <f t="shared" si="1"/>
        <v>0</v>
      </c>
      <c r="I21" s="21">
        <f t="shared" si="2"/>
        <v>0</v>
      </c>
      <c r="J21" s="22" t="str">
        <f>IF(B21=0,"",1+ROUND(SUMPRODUCT(($M$17:$M$21&gt;M21)/COUNTIF($M$17:$M$21,$M$17:$M$21)),0))</f>
        <v/>
      </c>
      <c r="K21" s="13"/>
      <c r="M21">
        <f t="shared" si="3"/>
        <v>-1000000000</v>
      </c>
    </row>
  </sheetData>
  <mergeCells count="4">
    <mergeCell ref="K2:K6"/>
    <mergeCell ref="K7:K11"/>
    <mergeCell ref="K12:K16"/>
    <mergeCell ref="K17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tabSelected="1" zoomScaleNormal="100" workbookViewId="0">
      <selection activeCell="P9" sqref="P9"/>
    </sheetView>
  </sheetViews>
  <sheetFormatPr defaultColWidth="11.44140625" defaultRowHeight="14.4" x14ac:dyDescent="0.3"/>
  <cols>
    <col min="1" max="1" width="3.88671875" customWidth="1"/>
    <col min="4" max="4" width="12.44140625" customWidth="1"/>
    <col min="7" max="7" width="5.109375" customWidth="1"/>
    <col min="10" max="10" width="12.44140625" customWidth="1"/>
    <col min="13" max="13" width="4.33203125" customWidth="1"/>
  </cols>
  <sheetData>
    <row r="1" spans="1:13" ht="15.75" customHeight="1" x14ac:dyDescent="0.3">
      <c r="A1" s="5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37.5" customHeight="1" x14ac:dyDescent="0.7">
      <c r="A2" s="5"/>
      <c r="B2" s="12" t="s">
        <v>42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29"/>
    </row>
    <row r="3" spans="1:13" ht="27.75" customHeight="1" x14ac:dyDescent="0.5">
      <c r="A3" s="5"/>
      <c r="B3" s="4" t="s">
        <v>36</v>
      </c>
      <c r="C3" s="4"/>
      <c r="D3" s="4"/>
      <c r="E3" s="4"/>
      <c r="F3" s="4"/>
      <c r="G3" s="54"/>
      <c r="H3" s="4" t="s">
        <v>41</v>
      </c>
      <c r="I3" s="4"/>
      <c r="J3" s="4"/>
      <c r="K3" s="4"/>
      <c r="L3" s="4"/>
      <c r="M3" s="29"/>
    </row>
    <row r="4" spans="1:13" ht="22.5" customHeight="1" x14ac:dyDescent="0.4">
      <c r="A4" s="5"/>
      <c r="B4" s="33" t="s">
        <v>37</v>
      </c>
      <c r="C4" s="3" t="s">
        <v>43</v>
      </c>
      <c r="D4" s="3"/>
      <c r="E4" s="2" t="s">
        <v>38</v>
      </c>
      <c r="F4" s="2"/>
      <c r="G4" s="30"/>
      <c r="H4" s="48" t="s">
        <v>37</v>
      </c>
      <c r="I4" s="3" t="s">
        <v>43</v>
      </c>
      <c r="J4" s="3"/>
      <c r="K4" s="2" t="s">
        <v>38</v>
      </c>
      <c r="L4" s="2"/>
      <c r="M4" s="29"/>
    </row>
    <row r="5" spans="1:13" ht="20.25" customHeight="1" x14ac:dyDescent="0.35">
      <c r="A5" s="5"/>
      <c r="B5" s="55">
        <v>0.51736111111111105</v>
      </c>
      <c r="C5" s="56"/>
      <c r="D5" s="57"/>
      <c r="E5" s="58"/>
      <c r="F5" s="58"/>
      <c r="G5" s="30"/>
      <c r="H5" s="55">
        <v>0.51736111111111105</v>
      </c>
      <c r="I5" s="56"/>
      <c r="J5" s="57"/>
      <c r="K5" s="58"/>
      <c r="L5" s="58"/>
      <c r="M5" s="29"/>
    </row>
    <row r="6" spans="1:13" ht="20.25" customHeight="1" x14ac:dyDescent="0.35">
      <c r="A6" s="5"/>
      <c r="B6" s="59">
        <v>0.52708333333333302</v>
      </c>
      <c r="C6" s="60"/>
      <c r="D6" s="61"/>
      <c r="E6" s="58"/>
      <c r="F6" s="58"/>
      <c r="G6" s="30"/>
      <c r="H6" s="59">
        <v>0.52708333333333302</v>
      </c>
      <c r="I6" s="60"/>
      <c r="J6" s="62"/>
      <c r="K6" s="58"/>
      <c r="L6" s="58"/>
      <c r="M6" s="29"/>
    </row>
    <row r="7" spans="1:13" ht="17.25" customHeight="1" x14ac:dyDescent="0.3">
      <c r="A7" s="5"/>
      <c r="B7" s="63"/>
      <c r="C7" s="64" t="s">
        <v>39</v>
      </c>
      <c r="D7" s="64" t="s">
        <v>40</v>
      </c>
      <c r="E7" s="65"/>
      <c r="F7" s="29"/>
      <c r="G7" s="29"/>
      <c r="H7" s="66"/>
      <c r="I7" s="64" t="s">
        <v>39</v>
      </c>
      <c r="J7" s="67" t="s">
        <v>40</v>
      </c>
      <c r="K7" s="68"/>
      <c r="L7" s="29"/>
      <c r="M7" s="29"/>
    </row>
    <row r="8" spans="1:13" ht="16.5" customHeight="1" x14ac:dyDescent="0.3">
      <c r="A8" s="5"/>
      <c r="B8" s="45"/>
      <c r="C8" s="29"/>
      <c r="D8" s="29"/>
      <c r="E8" s="29"/>
      <c r="F8" s="29"/>
      <c r="G8" s="29"/>
      <c r="H8" s="29"/>
      <c r="I8" s="69"/>
      <c r="J8" s="29"/>
      <c r="K8" s="29"/>
      <c r="L8" s="29"/>
      <c r="M8" s="29"/>
    </row>
    <row r="9" spans="1:13" ht="37.5" customHeight="1" x14ac:dyDescent="0.7">
      <c r="A9" s="5"/>
      <c r="B9" s="1" t="s">
        <v>44</v>
      </c>
      <c r="C9" s="1"/>
      <c r="D9" s="1"/>
      <c r="E9" s="1"/>
      <c r="F9" s="1"/>
      <c r="G9" s="1"/>
      <c r="H9" s="1"/>
      <c r="I9" s="1"/>
      <c r="J9" s="1"/>
      <c r="K9" s="1"/>
      <c r="L9" s="1"/>
      <c r="M9" s="29"/>
    </row>
    <row r="10" spans="1:13" ht="27.75" customHeight="1" x14ac:dyDescent="0.5">
      <c r="A10" s="5"/>
      <c r="B10" s="4" t="s">
        <v>36</v>
      </c>
      <c r="C10" s="4"/>
      <c r="D10" s="4"/>
      <c r="E10" s="4"/>
      <c r="F10" s="4"/>
      <c r="G10" s="54"/>
      <c r="H10" s="4" t="s">
        <v>41</v>
      </c>
      <c r="I10" s="4"/>
      <c r="J10" s="4"/>
      <c r="K10" s="4"/>
      <c r="L10" s="4"/>
      <c r="M10" s="29"/>
    </row>
    <row r="11" spans="1:13" ht="22.5" customHeight="1" x14ac:dyDescent="0.4">
      <c r="A11" s="5"/>
      <c r="B11" s="33" t="s">
        <v>37</v>
      </c>
      <c r="C11" s="3" t="s">
        <v>43</v>
      </c>
      <c r="D11" s="3"/>
      <c r="E11" s="2" t="s">
        <v>38</v>
      </c>
      <c r="F11" s="2"/>
      <c r="G11" s="30"/>
      <c r="H11" s="48" t="s">
        <v>37</v>
      </c>
      <c r="I11" s="3" t="s">
        <v>43</v>
      </c>
      <c r="J11" s="3"/>
      <c r="K11" s="2" t="s">
        <v>38</v>
      </c>
      <c r="L11" s="2"/>
      <c r="M11" s="29"/>
    </row>
    <row r="12" spans="1:13" ht="20.25" customHeight="1" x14ac:dyDescent="0.35">
      <c r="A12" s="5"/>
      <c r="B12" s="55">
        <v>0.53819444444444398</v>
      </c>
      <c r="C12" s="56"/>
      <c r="D12" s="57"/>
      <c r="E12" s="58"/>
      <c r="F12" s="70"/>
      <c r="G12" s="30"/>
      <c r="H12" s="55">
        <v>0.53819444444444398</v>
      </c>
      <c r="I12" s="56"/>
      <c r="J12" s="57"/>
      <c r="K12" s="71"/>
      <c r="L12" s="71"/>
      <c r="M12" s="29"/>
    </row>
    <row r="13" spans="1:13" ht="17.25" customHeight="1" x14ac:dyDescent="0.3">
      <c r="A13" s="5"/>
      <c r="B13" s="72"/>
      <c r="C13" s="73" t="s">
        <v>39</v>
      </c>
      <c r="D13" s="74" t="s">
        <v>40</v>
      </c>
      <c r="E13" s="68"/>
      <c r="F13" s="75"/>
      <c r="G13" s="29"/>
      <c r="H13" s="42"/>
      <c r="I13" s="64" t="s">
        <v>39</v>
      </c>
      <c r="J13" s="67" t="s">
        <v>40</v>
      </c>
      <c r="K13" s="76"/>
      <c r="L13" s="29"/>
      <c r="M13" s="29"/>
    </row>
    <row r="14" spans="1:13" ht="16.5" customHeight="1" x14ac:dyDescent="0.3">
      <c r="A14" s="5"/>
      <c r="B14" s="29"/>
      <c r="C14" s="75"/>
      <c r="D14" s="75"/>
      <c r="E14" s="29"/>
      <c r="F14" s="29"/>
      <c r="G14" s="29"/>
      <c r="H14" s="45"/>
      <c r="I14" s="45"/>
      <c r="J14" s="45"/>
      <c r="K14" s="45"/>
      <c r="L14" s="45"/>
      <c r="M14" s="29"/>
    </row>
    <row r="15" spans="1:13" ht="37.5" customHeight="1" x14ac:dyDescent="0.7">
      <c r="A15" s="5"/>
      <c r="B15" s="83" t="s">
        <v>45</v>
      </c>
      <c r="C15" s="83"/>
      <c r="D15" s="83"/>
      <c r="E15" s="83"/>
      <c r="F15" s="83"/>
      <c r="G15" s="54"/>
      <c r="H15" s="84" t="s">
        <v>46</v>
      </c>
      <c r="I15" s="84"/>
      <c r="J15" s="84"/>
      <c r="K15" s="84"/>
      <c r="L15" s="84"/>
      <c r="M15" s="29"/>
    </row>
    <row r="16" spans="1:13" ht="22.5" customHeight="1" x14ac:dyDescent="0.4">
      <c r="A16" s="5"/>
      <c r="B16" s="33" t="s">
        <v>37</v>
      </c>
      <c r="C16" s="3" t="s">
        <v>43</v>
      </c>
      <c r="D16" s="3"/>
      <c r="E16" s="2" t="s">
        <v>38</v>
      </c>
      <c r="F16" s="2"/>
      <c r="G16" s="30"/>
      <c r="H16" s="48" t="s">
        <v>37</v>
      </c>
      <c r="I16" s="3" t="s">
        <v>43</v>
      </c>
      <c r="J16" s="3"/>
      <c r="K16" s="2" t="s">
        <v>38</v>
      </c>
      <c r="L16" s="2"/>
      <c r="M16" s="29"/>
    </row>
    <row r="17" spans="1:13" ht="20.25" customHeight="1" x14ac:dyDescent="0.35">
      <c r="A17" s="5"/>
      <c r="B17" s="55">
        <v>0.54861111111111105</v>
      </c>
      <c r="C17" s="56"/>
      <c r="D17" s="57"/>
      <c r="E17" s="58"/>
      <c r="F17" s="70"/>
      <c r="G17" s="30"/>
      <c r="H17" s="55">
        <v>0.55902777777777801</v>
      </c>
      <c r="I17" s="56"/>
      <c r="J17" s="57"/>
      <c r="K17" s="58"/>
      <c r="L17" s="70"/>
      <c r="M17" s="29"/>
    </row>
    <row r="18" spans="1:13" ht="17.25" customHeight="1" x14ac:dyDescent="0.3">
      <c r="A18" s="5"/>
      <c r="B18" s="42"/>
      <c r="C18" s="77" t="s">
        <v>39</v>
      </c>
      <c r="D18" s="64" t="s">
        <v>40</v>
      </c>
      <c r="E18" s="65"/>
      <c r="F18" s="75"/>
      <c r="G18" s="29"/>
      <c r="H18" s="42"/>
      <c r="I18" s="64" t="s">
        <v>39</v>
      </c>
      <c r="J18" s="74" t="s">
        <v>40</v>
      </c>
      <c r="K18" s="68"/>
      <c r="L18" s="75"/>
      <c r="M18" s="29"/>
    </row>
    <row r="19" spans="1:13" ht="15.75" customHeight="1" x14ac:dyDescent="0.3">
      <c r="A19" s="5"/>
      <c r="B19" s="29"/>
      <c r="C19" s="75"/>
      <c r="D19" s="29"/>
      <c r="E19" s="29"/>
      <c r="F19" s="29"/>
      <c r="G19" s="29"/>
      <c r="H19" s="29"/>
      <c r="I19" s="75"/>
      <c r="J19" s="75"/>
      <c r="K19" s="29"/>
      <c r="L19" s="29"/>
      <c r="M19" s="29"/>
    </row>
  </sheetData>
  <mergeCells count="21">
    <mergeCell ref="H15:L15"/>
    <mergeCell ref="C16:D16"/>
    <mergeCell ref="E16:F16"/>
    <mergeCell ref="I16:J16"/>
    <mergeCell ref="K16:L16"/>
    <mergeCell ref="A1:A19"/>
    <mergeCell ref="B2:L2"/>
    <mergeCell ref="B3:F3"/>
    <mergeCell ref="H3:L3"/>
    <mergeCell ref="C4:D4"/>
    <mergeCell ref="E4:F4"/>
    <mergeCell ref="I4:J4"/>
    <mergeCell ref="K4:L4"/>
    <mergeCell ref="B9:L9"/>
    <mergeCell ref="B10:F10"/>
    <mergeCell ref="H10:L10"/>
    <mergeCell ref="C11:D11"/>
    <mergeCell ref="E11:F11"/>
    <mergeCell ref="I11:J11"/>
    <mergeCell ref="K11:L11"/>
    <mergeCell ref="B15:F15"/>
  </mergeCells>
  <pageMargins left="0.7" right="0.7" top="0.78749999999999998" bottom="0.7874999999999999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Gruppenphase</vt:lpstr>
      <vt:lpstr>Spiele</vt:lpstr>
      <vt:lpstr>Platzierung</vt:lpstr>
      <vt:lpstr>Kreuzspiele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Rigler Marvin (s4bhme)</cp:lastModifiedBy>
  <cp:revision>0</cp:revision>
  <dcterms:created xsi:type="dcterms:W3CDTF">2026-06-18T13:01:06Z</dcterms:created>
  <dcterms:modified xsi:type="dcterms:W3CDTF">2026-06-26T07:55:38Z</dcterms:modified>
  <dc:language>en-US</dc:language>
</cp:coreProperties>
</file>